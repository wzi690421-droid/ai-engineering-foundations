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ff9297e13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945a239aefbb4a3e"/>
    <x:sheet xmlns:r="http://schemas.openxmlformats.org/officeDocument/2006/relationships" name="01_背景与边界" sheetId="2" r:id="Rcf26dde0a66a423a"/>
    <x:sheet xmlns:r="http://schemas.openxmlformats.org/officeDocument/2006/relationships" name="02_快速基线" sheetId="3" r:id="Ra5c2dae18f1a4424"/>
    <x:sheet xmlns:r="http://schemas.openxmlformats.org/officeDocument/2006/relationships" name="03_能力矩阵" sheetId="4" r:id="R2efbb41c40d6400b"/>
    <x:sheet xmlns:r="http://schemas.openxmlformats.org/officeDocument/2006/relationships" name="04_六周战略" sheetId="5" r:id="R748b7dd2e5a245b2"/>
    <x:sheet xmlns:r="http://schemas.openxmlformats.org/officeDocument/2006/relationships" name="05_每日执行" sheetId="6" r:id="R45b1541ae0a84285"/>
    <x:sheet xmlns:r="http://schemas.openxmlformats.org/officeDocument/2006/relationships" name="06_周测复盘" sheetId="7" r:id="Ree8801ef8d234626"/>
    <x:sheet xmlns:r="http://schemas.openxmlformats.org/officeDocument/2006/relationships" name="07_决策日志" sheetId="8" r:id="Rccba219ecd8f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yyyy-mm-dd"/>
    <x:numFmt numFmtId="202" formatCode="0 &quot;分钟&quot;"/>
    <x:numFmt numFmtId="203" formatCode="0&quot;%&quot;"/>
    <x:numFmt numFmtId="204" formatCode="0.00"/>
    <x:numFmt numFmtId="205" formatCode="0.0"/>
    <x:numFmt numFmtId="206" formatCode="0.0&quot;h&quot;"/>
    <x:numFmt numFmtId="207" formatCode="0&quot;h&quot;"/>
    <x:numFmt numFmtId="208" formatCode="0&quot;分钟&quot;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b/>
      <x:sz val="11"/>
      <x:name val="Carlito"/>
    </x:font>
    <x:font>
      <x:b/>
      <x:sz val="11"/>
      <x:color rgb="FF16324F"/>
      <x:name val="Carlito"/>
    </x:font>
    <x:font>
      <x:b/>
      <x:sz val="14"/>
      <x:color rgb="FF2563EB"/>
      <x:name val="Carlito"/>
    </x:font>
    <x:font>
      <x:sz val="11"/>
      <x:color rgb="FF374151"/>
      <x:name val="Carlito"/>
    </x:font>
    <x:font>
      <x:b/>
      <x:sz val="11"/>
      <x:color rgb="FF2563E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E8F5F2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FFF7E6"/>
      </x:patternFill>
    </x:fill>
    <x:fill>
      <x:patternFill patternType="solid">
        <x:fgColor rgb="FFFFFDF5"/>
      </x:patternFill>
    </x:fill>
  </x:fills>
  <x:borders count="19">
    <x:border/>
    <x:border>
      <x:right style="thin">
        <x:color rgb="FFD1D5DB"/>
      </x:right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200" fontId="0" fillId="4" borderId="5" xfId="0" applyNumberFormat="1" applyFont="1" applyFill="1" applyBorder="1" applyAlignment="1">
      <x:alignment vertical="top" wrapText="1"/>
    </x:xf>
    <x:xf numFmtId="201" fontId="0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1" fontId="0" fillId="4" borderId="6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8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7" fillId="3" borderId="0" xfId="0" applyNumberFormat="1" applyFont="1" applyFill="1" applyBorder="1"/>
    <x:xf numFmtId="204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vertical="top" wrapText="1"/>
    </x:xf>
    <x:xf numFmtId="205" fontId="0" fillId="0" borderId="17" xfId="0" applyNumberFormat="1" applyFont="1" applyFill="1" applyBorder="1" applyAlignment="1">
      <x:alignment vertical="top" wrapText="1"/>
    </x:xf>
    <x:xf numFmtId="205" fontId="0" fillId="0" borderId="18" xfId="0" applyNumberFormat="1" applyFont="1" applyFill="1" applyBorder="1" applyAlignment="1">
      <x:alignment vertical="top" wrapText="1"/>
    </x:xf>
    <x:xf numFmtId="206" fontId="0" fillId="0" borderId="16" xfId="0" applyNumberFormat="1" applyFont="1" applyFill="1" applyBorder="1" applyAlignment="1">
      <x:alignment vertical="top" wrapText="1"/>
    </x:xf>
    <x:xf numFmtId="206" fontId="0" fillId="0" borderId="17" xfId="0" applyNumberFormat="1" applyFont="1" applyFill="1" applyBorder="1" applyAlignment="1">
      <x:alignment vertical="top" wrapText="1"/>
    </x:xf>
    <x:xf numFmtId="206" fontId="0" fillId="0" borderId="18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206" fontId="9" fillId="3" borderId="0" xfId="0" applyNumberFormat="1" applyFont="1" applyFill="1" applyBorder="1"/>
    <x:xf numFmtId="207" fontId="0" fillId="0" borderId="16" xfId="0" applyNumberFormat="1" applyFont="1" applyFill="1" applyBorder="1" applyAlignment="1">
      <x:alignment vertical="top" wrapText="1"/>
    </x:xf>
    <x:xf numFmtId="207" fontId="0" fillId="0" borderId="17" xfId="0" applyNumberFormat="1" applyFont="1" applyFill="1" applyBorder="1" applyAlignment="1">
      <x:alignment vertical="top" wrapText="1"/>
    </x:xf>
    <x:xf numFmtId="207" fontId="0" fillId="0" borderId="1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206" fontId="0" fillId="9" borderId="16" xfId="0" applyNumberFormat="1" applyFont="1" applyFill="1" applyBorder="1" applyAlignment="1">
      <x:alignment vertical="top" wrapText="1"/>
    </x:xf>
    <x:xf numFmtId="206" fontId="0" fillId="9" borderId="17" xfId="0" applyNumberFormat="1" applyFont="1" applyFill="1" applyBorder="1" applyAlignment="1">
      <x:alignment vertical="top" wrapText="1"/>
    </x:xf>
    <x:xf numFmtId="206" fontId="0" fillId="9" borderId="18" xfId="0" applyNumberFormat="1" applyFont="1" applyFill="1" applyBorder="1" applyAlignment="1">
      <x:alignment vertical="top" wrapText="1"/>
    </x:xf>
    <x:xf numFmtId="0" fontId="0" fillId="10" borderId="16" xfId="0" applyNumberFormat="1" applyFont="1" applyFill="1" applyBorder="1" applyAlignment="1">
      <x:alignment vertical="top" wrapText="1"/>
    </x:xf>
    <x:xf numFmtId="206" fontId="0" fillId="10" borderId="16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206" fontId="0" fillId="10" borderId="17" xfId="0" applyNumberFormat="1" applyFont="1" applyFill="1" applyBorder="1" applyAlignment="1">
      <x:alignment vertical="top" wrapText="1"/>
    </x:xf>
    <x:xf numFmtId="0" fontId="0" fillId="10" borderId="18" xfId="0" applyNumberFormat="1" applyFont="1" applyFill="1" applyBorder="1" applyAlignment="1">
      <x:alignment vertical="top" wrapText="1"/>
    </x:xf>
    <x:xf numFmtId="206" fontId="0" fillId="10" borderId="18" xfId="0" applyNumberFormat="1" applyFont="1" applyFill="1" applyBorder="1" applyAlignment="1">
      <x:alignment vertical="top" wrapText="1"/>
    </x:xf>
    <x:xf numFmtId="208" fontId="0" fillId="0" borderId="16" xfId="0" applyNumberFormat="1" applyFont="1" applyFill="1" applyBorder="1" applyAlignment="1">
      <x:alignment vertical="top" wrapText="1"/>
    </x:xf>
    <x:xf numFmtId="208" fontId="0" fillId="0" borderId="17" xfId="0" applyNumberFormat="1" applyFont="1" applyFill="1" applyBorder="1" applyAlignment="1">
      <x:alignment vertical="top" wrapText="1"/>
    </x:xf>
    <x:xf numFmtId="208" fontId="0" fillId="0" borderId="18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203" fontId="0" fillId="0" borderId="16" xfId="0" applyNumberFormat="1" applyFont="1" applyFill="1" applyBorder="1" applyAlignment="1">
      <x:alignment vertical="center" wrapText="1"/>
    </x:xf>
    <x:xf numFmtId="202" fontId="0" fillId="0" borderId="17" xfId="0" applyNumberFormat="1" applyFont="1" applyFill="1" applyBorder="1" applyAlignment="1">
      <x:alignment vertical="center" wrapText="1"/>
    </x:xf>
    <x:xf numFmtId="203" fontId="0" fillId="0" borderId="17" xfId="0" applyNumberFormat="1" applyFont="1" applyFill="1" applyBorder="1" applyAlignment="1">
      <x:alignment vertical="center" wrapText="1"/>
    </x:xf>
    <x:xf numFmtId="202" fontId="0" fillId="0" borderId="18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204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205" fontId="0" fillId="0" borderId="16" xfId="0" applyNumberFormat="1" applyFont="1" applyFill="1" applyBorder="1" applyAlignment="1">
      <x:alignment vertical="center" wrapText="1"/>
    </x:xf>
    <x:xf numFmtId="206" fontId="0" fillId="0" borderId="16" xfId="0" applyNumberFormat="1" applyFont="1" applyFill="1" applyBorder="1" applyAlignment="1">
      <x:alignment vertical="center" wrapText="1"/>
    </x:xf>
    <x:xf numFmtId="205" fontId="0" fillId="0" borderId="17" xfId="0" applyNumberFormat="1" applyFont="1" applyFill="1" applyBorder="1" applyAlignment="1">
      <x:alignment vertical="center" wrapText="1"/>
    </x:xf>
    <x:xf numFmtId="206" fontId="0" fillId="0" borderId="17" xfId="0" applyNumberFormat="1" applyFont="1" applyFill="1" applyBorder="1" applyAlignment="1">
      <x:alignment vertical="center" wrapText="1"/>
    </x:xf>
    <x:xf numFmtId="205" fontId="0" fillId="0" borderId="18" xfId="0" applyNumberFormat="1" applyFont="1" applyFill="1" applyBorder="1" applyAlignment="1">
      <x:alignment vertical="center" wrapText="1"/>
    </x:xf>
    <x:xf numFmtId="206" fontId="0" fillId="0" borderId="18" xfId="0" applyNumberFormat="1" applyFont="1" applyFill="1" applyBorder="1" applyAlignment="1">
      <x:alignment vertical="center" wrapText="1"/>
    </x:xf>
    <x:xf numFmtId="206" fontId="9" fillId="3" borderId="0" xfId="0" applyNumberFormat="1" applyFont="1" applyFill="1" applyBorder="1" applyAlignment="1">
      <x:alignment vertical="center"/>
    </x:xf>
    <x:xf numFmtId="207" fontId="0" fillId="0" borderId="16" xfId="0" applyNumberFormat="1" applyFont="1" applyFill="1" applyBorder="1" applyAlignment="1">
      <x:alignment vertical="center" wrapText="1"/>
    </x:xf>
    <x:xf numFmtId="207" fontId="0" fillId="0" borderId="17" xfId="0" applyNumberFormat="1" applyFont="1" applyFill="1" applyBorder="1" applyAlignment="1">
      <x:alignment vertical="center" wrapText="1"/>
    </x:xf>
    <x:xf numFmtId="207" fontId="0" fillId="0" borderId="18" xfId="0" applyNumberFormat="1" applyFont="1" applyFill="1" applyBorder="1" applyAlignment="1">
      <x:alignment vertical="center" wrapText="1"/>
    </x:xf>
    <x:xf numFmtId="206" fontId="0" fillId="9" borderId="16" xfId="0" applyNumberFormat="1" applyFont="1" applyFill="1" applyBorder="1" applyAlignment="1">
      <x:alignment vertical="center" wrapText="1"/>
    </x:xf>
    <x:xf numFmtId="0" fontId="0" fillId="10" borderId="16" xfId="0" applyNumberFormat="1" applyFont="1" applyFill="1" applyBorder="1" applyAlignment="1">
      <x:alignment vertical="center" wrapText="1"/>
    </x:xf>
    <x:xf numFmtId="206" fontId="0" fillId="10" borderId="16" xfId="0" applyNumberFormat="1" applyFont="1" applyFill="1" applyBorder="1" applyAlignment="1">
      <x:alignment vertical="center" wrapText="1"/>
    </x:xf>
    <x:xf numFmtId="206" fontId="0" fillId="9" borderId="17" xfId="0" applyNumberFormat="1" applyFont="1" applyFill="1" applyBorder="1" applyAlignment="1">
      <x:alignment vertical="center" wrapText="1"/>
    </x:xf>
    <x:xf numFmtId="0" fontId="0" fillId="10" borderId="17" xfId="0" applyNumberFormat="1" applyFont="1" applyFill="1" applyBorder="1" applyAlignment="1">
      <x:alignment vertical="center" wrapText="1"/>
    </x:xf>
    <x:xf numFmtId="206" fontId="0" fillId="10" borderId="17" xfId="0" applyNumberFormat="1" applyFont="1" applyFill="1" applyBorder="1" applyAlignment="1">
      <x:alignment vertical="center" wrapText="1"/>
    </x:xf>
    <x:xf numFmtId="206" fontId="0" fillId="9" borderId="18" xfId="0" applyNumberFormat="1" applyFont="1" applyFill="1" applyBorder="1" applyAlignment="1">
      <x:alignment vertical="center" wrapText="1"/>
    </x:xf>
    <x:xf numFmtId="0" fontId="0" fillId="10" borderId="18" xfId="0" applyNumberFormat="1" applyFont="1" applyFill="1" applyBorder="1" applyAlignment="1">
      <x:alignment vertical="center" wrapText="1"/>
    </x:xf>
    <x:xf numFmtId="206" fontId="0" fillId="10" borderId="18" xfId="0" applyNumberFormat="1" applyFont="1" applyFill="1" applyBorder="1" applyAlignment="1">
      <x:alignment vertical="center" wrapText="1"/>
    </x:xf>
    <x:xf numFmtId="208" fontId="0" fillId="0" borderId="16" xfId="0" applyNumberFormat="1" applyFont="1" applyFill="1" applyBorder="1" applyAlignment="1">
      <x:alignment vertical="center" wrapText="1"/>
    </x:xf>
    <x:xf numFmtId="208" fontId="0" fillId="0" borderId="17" xfId="0" applyNumberFormat="1" applyFont="1" applyFill="1" applyBorder="1" applyAlignment="1">
      <x:alignment vertical="center" wrapText="1"/>
    </x:xf>
    <x:xf numFmtId="208" fontId="0" fillId="0" borderId="18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A34A"/>
      </x:font>
      <x:fill>
        <x:patternFill patternType="solid">
          <x:bgColor rgb="FFECFDF3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  <x:dxf>
      <x:font>
        <x:b/>
        <x:color rgb="FF16A34A"/>
      </x:font>
      <x:fill>
        <x:patternFill patternType="solid">
          <x:bgColor rgb="FFECFDF3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7a569038b4b8e" /><Relationship Type="http://schemas.openxmlformats.org/officeDocument/2006/relationships/theme" Target="/xl/theme/theme1.xml" Id="R141f827059af4698" /><Relationship Type="http://schemas.openxmlformats.org/officeDocument/2006/relationships/sharedStrings" Target="/xl/sharedStrings.xml" Id="Rac3a8198d4474678" /><Relationship Type="http://schemas.openxmlformats.org/officeDocument/2006/relationships/worksheet" Target="/xl/worksheets/sheet1.xml" Id="R945a239aefbb4a3e" /><Relationship Type="http://schemas.openxmlformats.org/officeDocument/2006/relationships/worksheet" Target="/xl/worksheets/sheet2.xml" Id="Rcf26dde0a66a423a" /><Relationship Type="http://schemas.openxmlformats.org/officeDocument/2006/relationships/worksheet" Target="/xl/worksheets/sheet3.xml" Id="Ra5c2dae18f1a4424" /><Relationship Type="http://schemas.openxmlformats.org/officeDocument/2006/relationships/worksheet" Target="/xl/worksheets/sheet4.xml" Id="R2efbb41c40d6400b" /><Relationship Type="http://schemas.openxmlformats.org/officeDocument/2006/relationships/worksheet" Target="/xl/worksheets/sheet5.xml" Id="R748b7dd2e5a245b2" /><Relationship Type="http://schemas.openxmlformats.org/officeDocument/2006/relationships/worksheet" Target="/xl/worksheets/sheet6.xml" Id="R45b1541ae0a84285" /><Relationship Type="http://schemas.openxmlformats.org/officeDocument/2006/relationships/worksheet" Target="/xl/worksheets/sheet7.xml" Id="Ree8801ef8d234626" /><Relationship Type="http://schemas.openxmlformats.org/officeDocument/2006/relationships/worksheet" Target="/xl/worksheets/sheet8.xml" Id="Rccba219ecd8f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31" hidden="0" customWidth="1"/>
    <x:col min="4" max="4" width="30" hidden="0" customWidth="1"/>
    <x:col min="5" max="5" width="14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六周能力提升主控表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用途：长期保存你的背景、目标、测试结果、六周计划与调整记录。后续继续讨论时，先读取本工作簿，不依赖聊天记忆。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/>
      <x:c r="B3" s="7"/>
      <x:c r="C3" s="7"/>
      <x:c r="D3" s="7"/>
      <x:c r="E3" s="7"/>
      <x:c r="F3" s="7"/>
      <x:c r="G3" s="7"/>
      <x:c r="H3" s="7"/>
    </x:row>
    <x:row r="4">
      <x:c r="A4" s="76"/>
      <x:c r="B4" s="76"/>
      <x:c r="C4" s="76"/>
      <x:c r="D4" s="76"/>
      <x:c r="E4" s="76"/>
      <x:c r="F4" s="76"/>
      <x:c r="G4" s="76"/>
      <x:c r="H4" s="76"/>
    </x:row>
    <x:row r="5" ht="28" customHeight="1">
      <x:c r="A5" s="18" t="str">
        <x:v>当前阶段</x:v>
      </x:c>
      <x:c r="B5" s="19" t="str">
        <x:v>总目标</x:v>
      </x:c>
      <x:c r="C5" s="19" t="str">
        <x:v>本阶段目标</x:v>
      </x:c>
      <x:c r="D5" s="19" t="str">
        <x:v>基线状态</x:v>
      </x:c>
      <x:c r="E5" s="19" t="str">
        <x:v>每周核心时数</x:v>
      </x:c>
      <x:c r="F5" s="19" t="str">
        <x:v>硬件决策</x:v>
      </x:c>
      <x:c r="G5" s="19" t="str">
        <x:v>计划版本</x:v>
      </x:c>
      <x:c r="H5" s="20" t="str">
        <x:v>更新时间</x:v>
      </x:c>
    </x:row>
    <x:row r="6" ht="72" customHeight="1">
      <x:c r="A6" s="77" t="str">
        <x:v>六周集中提升前</x:v>
      </x:c>
      <x:c r="B6" s="78" t="str">
        <x:v>2029届求职首份年包力争40万以上，长期冲击50万及更高</x:v>
      </x:c>
      <x:c r="C6" s="78" t="str">
        <x:v>从“学过但不能独立做”提升为“能独立实现、调试、实验和解释完整AI工程”</x:v>
      </x:c>
      <x:c r="D6" s="78" t="str">
        <x:v>待完成45–60分钟快速基线</x:v>
      </x:c>
      <x:c r="E6" s="79" t="n">
        <x:v>48</x:v>
      </x:c>
      <x:c r="F6" s="78" t="str">
        <x:v>暂不购买深度相机/开发板；出现明确三维任务再评估</x:v>
      </x:c>
      <x:c r="G6" s="78" t="str">
        <x:v>v1.0</x:v>
      </x:c>
      <x:c r="H6" s="80" t="n">
        <x:v>46231</x:v>
      </x:c>
    </x:row>
    <x:row r="7">
      <x:c r="A7" s="76"/>
      <x:c r="B7" s="76"/>
      <x:c r="C7" s="76"/>
      <x:c r="D7" s="76"/>
      <x:c r="E7" s="76"/>
      <x:c r="F7" s="76"/>
      <x:c r="G7" s="76"/>
      <x:c r="H7" s="76"/>
    </x:row>
    <x:row r="8">
      <x:c r="A8" s="35" t="str">
        <x:v>后续 Codex 必读顺序</x:v>
      </x:c>
      <x:c r="B8" s="35"/>
      <x:c r="C8" s="35"/>
      <x:c r="D8" s="35"/>
      <x:c r="E8" s="35"/>
      <x:c r="F8" s="35"/>
      <x:c r="G8" s="35"/>
      <x:c r="H8" s="35"/>
    </x:row>
    <x:row r="9" ht="44" customHeight="1">
      <x:c r="A9" s="81" t="str">
        <x:v>顺序</x:v>
      </x:c>
      <x:c r="B9" s="81" t="str">
        <x:v>读取内容</x:v>
      </x:c>
      <x:c r="C9" s="81" t="str">
        <x:v>目的</x:v>
      </x:c>
      <x:c r="D9" s="81" t="str">
        <x:v>必须遵守</x:v>
      </x:c>
      <x:c r="E9" s="76" t="str"/>
      <x:c r="F9" s="76" t="str"/>
      <x:c r="G9" s="76" t="str"/>
      <x:c r="H9" s="76" t="str"/>
    </x:row>
    <x:row r="10" ht="44" customHeight="1">
      <x:c r="A10" s="82" t="n">
        <x:v>1</x:v>
      </x:c>
      <x:c r="B10" s="83" t="str">
        <x:v>01_背景与边界</x:v>
      </x:c>
      <x:c r="C10" s="83" t="str">
        <x:v>恢复你的真实背景、限制与偏好</x:v>
      </x:c>
      <x:c r="D10" s="84" t="str">
        <x:v>不要因为单次举例，把方向锁定为视觉、量化、机器人或大模型</x:v>
      </x:c>
      <x:c r="E10" s="76" t="str"/>
      <x:c r="F10" s="76" t="str"/>
      <x:c r="G10" s="76" t="str"/>
      <x:c r="H10" s="76" t="str"/>
    </x:row>
    <x:row r="11" ht="44" customHeight="1">
      <x:c r="A11" s="85" t="n">
        <x:v>2</x:v>
      </x:c>
      <x:c r="B11" s="86" t="str">
        <x:v>03_能力矩阵</x:v>
      </x:c>
      <x:c r="C11" s="86" t="str">
        <x:v>查看最新能力分数与优先级</x:v>
      </x:c>
      <x:c r="D11" s="87" t="str">
        <x:v>测过的内容按成绩调整，避免重复学已经掌握的部分</x:v>
      </x:c>
      <x:c r="E11" s="76" t="str"/>
      <x:c r="F11" s="76" t="str"/>
      <x:c r="G11" s="76" t="str"/>
      <x:c r="H11" s="76" t="str"/>
    </x:row>
    <x:row r="12" ht="44" customHeight="1">
      <x:c r="A12" s="85" t="n">
        <x:v>3</x:v>
      </x:c>
      <x:c r="B12" s="86" t="str">
        <x:v>04_六周战略 + 05_每日执行</x:v>
      </x:c>
      <x:c r="C12" s="86" t="str">
        <x:v>确定当前该做什么</x:v>
      </x:c>
      <x:c r="D12" s="87" t="str">
        <x:v>优先完成当前周交付，不随聊天临时改主线</x:v>
      </x:c>
      <x:c r="E12" s="76" t="str"/>
      <x:c r="F12" s="76" t="str"/>
      <x:c r="G12" s="76" t="str"/>
      <x:c r="H12" s="76" t="str"/>
    </x:row>
    <x:row r="13" ht="44" customHeight="1">
      <x:c r="A13" s="88" t="n">
        <x:v>4</x:v>
      </x:c>
      <x:c r="B13" s="89" t="str">
        <x:v>06_周测复盘 + 07_决策日志</x:v>
      </x:c>
      <x:c r="C13" s="89" t="str">
        <x:v>查看进度与已作决定</x:v>
      </x:c>
      <x:c r="D13" s="90" t="str">
        <x:v>任何重大改动都写入决策日志，保留原因与复盘条件</x:v>
      </x:c>
      <x:c r="E13" s="76" t="str"/>
      <x:c r="F13" s="76" t="str"/>
      <x:c r="G13" s="76" t="str"/>
      <x:c r="H13" s="76" t="str"/>
    </x:row>
    <x:row r="14">
      <x:c r="A14" s="76"/>
      <x:c r="B14" s="76"/>
      <x:c r="C14" s="76"/>
      <x:c r="D14" s="76"/>
      <x:c r="E14" s="76"/>
      <x:c r="F14" s="76"/>
      <x:c r="G14" s="76"/>
      <x:c r="H14" s="76"/>
    </x:row>
    <x:row r="15">
      <x:c r="A15" s="68" t="str">
        <x:v>六周成功标准</x:v>
      </x:c>
      <x:c r="B15" s="68"/>
      <x:c r="C15" s="68"/>
      <x:c r="D15" s="68"/>
      <x:c r="E15" s="68"/>
      <x:c r="F15" s="68"/>
      <x:c r="G15" s="68"/>
      <x:c r="H15" s="68"/>
    </x:row>
    <x:row r="16" ht="48" customHeight="1">
      <x:c r="A16" s="91" t="str">
        <x:v>编号</x:v>
      </x:c>
      <x:c r="B16" s="92" t="str">
        <x:v>六周结束时必须达到</x:v>
      </x:c>
      <x:c r="C16" s="92" t="str">
        <x:v>验收证据</x:v>
      </x:c>
      <x:c r="D16" s="93" t="str">
        <x:v>不是目标</x:v>
      </x:c>
      <x:c r="E16" s="76" t="str"/>
      <x:c r="F16" s="76" t="str"/>
      <x:c r="G16" s="76" t="str"/>
      <x:c r="H16" s="76" t="str"/>
    </x:row>
    <x:row r="17" ht="48" customHeight="1">
      <x:c r="A17" s="85" t="n">
        <x:v>1</x:v>
      </x:c>
      <x:c r="B17" s="86" t="str">
        <x:v>能够不依赖AI完整生成，独立写出并调试中等规模C++/Python模块</x:v>
      </x:c>
      <x:c r="C17" s="86" t="str">
        <x:v>闭卷周测、Git提交、现场修改需求</x:v>
      </x:c>
      <x:c r="D17" s="87" t="str">
        <x:v>成为某个细分方向专家</x:v>
      </x:c>
      <x:c r="E17" s="76" t="str"/>
      <x:c r="F17" s="76" t="str"/>
      <x:c r="G17" s="76" t="str"/>
      <x:c r="H17" s="76" t="str"/>
    </x:row>
    <x:row r="18" ht="48" customHeight="1">
      <x:c r="A18" s="85" t="n">
        <x:v>2</x:v>
      </x:c>
      <x:c r="B18" s="86" t="str">
        <x:v>能够从数据、训练、评估到推理完整解释一个神经网络实验</x:v>
      </x:c>
      <x:c r="C18" s="86" t="str">
        <x:v>训练记录、曲线、指标和失败分析</x:v>
      </x:c>
      <x:c r="D18" s="87" t="str">
        <x:v>堆很多课程进度</x:v>
      </x:c>
      <x:c r="E18" s="76" t="str"/>
      <x:c r="F18" s="76" t="str"/>
      <x:c r="G18" s="76" t="str"/>
      <x:c r="H18" s="76" t="str"/>
    </x:row>
    <x:row r="19" ht="48" customHeight="1">
      <x:c r="A19" s="85" t="n">
        <x:v>3</x:v>
      </x:c>
      <x:c r="B19" s="86" t="str">
        <x:v>完成PyTorch→ONNX→C++推理链路并保证结果一致</x:v>
      </x:c>
      <x:c r="C19" s="86" t="str">
        <x:v>可复现仓库、测试输入、误差对比</x:v>
      </x:c>
      <x:c r="D19" s="87" t="str">
        <x:v>盲目追求先进模型</x:v>
      </x:c>
      <x:c r="E19" s="76" t="str"/>
      <x:c r="F19" s="76" t="str"/>
      <x:c r="G19" s="76" t="str"/>
      <x:c r="H19" s="76" t="str"/>
    </x:row>
    <x:row r="20" ht="48" customHeight="1">
      <x:c r="A20" s="88" t="n">
        <x:v>4</x:v>
      </x:c>
      <x:c r="B20" s="89" t="str">
        <x:v>能用数据定位性能瓶颈并完成至少两项有证据的改进</x:v>
      </x:c>
      <x:c r="C20" s="89" t="str">
        <x:v>分阶段耗时、p50/p95、吞吐量、内存报告</x:v>
      </x:c>
      <x:c r="D20" s="90" t="str">
        <x:v>把自己锁死在视觉或量化</x:v>
      </x:c>
      <x:c r="E20" s="76" t="str"/>
      <x:c r="F20" s="76" t="str"/>
      <x:c r="G20" s="76" t="str"/>
      <x:c r="H20" s="76" t="str"/>
    </x:row>
  </x:sheetData>
  <x:mergeCells>
    <x:mergeCell ref="A1:H1"/>
    <x:mergeCell ref="A2:H3"/>
    <x:mergeCell ref="A8:H8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33" hidden="0" customWidth="1"/>
    <x:col min="4" max="4" width="36" hidden="0" customWidth="1"/>
    <x:col min="5" max="5" width="11" hidden="0" customWidth="1"/>
    <x:col min="6" max="6" width="28" hidden="0" customWidth="1"/>
  </x:cols>
  <x:sheetData>
    <x:row r="1" ht="34" customHeight="1">
      <x:c r="A1" s="3" t="str">
        <x:v>个人背景、目标与边界</x:v>
      </x:c>
      <x:c r="B1" s="3"/>
      <x:c r="C1" s="3"/>
      <x:c r="D1" s="3"/>
      <x:c r="E1" s="3"/>
      <x:c r="F1" s="3"/>
    </x:row>
    <x:row r="2" ht="28" customHeight="1">
      <x:c r="A2" s="7" t="str">
        <x:v>这是长期上下文的事实来源。事实变化时更新本表；不要仅凭一次对话重写职业方向。</x:v>
      </x:c>
      <x:c r="B2" s="7"/>
      <x:c r="C2" s="7"/>
      <x:c r="D2" s="7"/>
      <x:c r="E2" s="7"/>
      <x:c r="F2" s="7"/>
    </x:row>
    <x:row r="3" ht="28" customHeight="1">
      <x:c r="A3" s="7"/>
      <x:c r="B3" s="7"/>
      <x:c r="C3" s="7"/>
      <x:c r="D3" s="7"/>
      <x:c r="E3" s="7"/>
      <x:c r="F3" s="7"/>
    </x:row>
    <x:row r="4">
      <x:c r="A4" s="76"/>
      <x:c r="B4" s="76"/>
      <x:c r="C4" s="76"/>
      <x:c r="D4" s="76"/>
      <x:c r="E4" s="76"/>
      <x:c r="F4" s="76"/>
    </x:row>
    <x:row r="5" ht="28" customHeight="1">
      <x:c r="A5" s="18" t="str">
        <x:v>类别</x:v>
      </x:c>
      <x:c r="B5" s="19" t="str">
        <x:v>已知事实</x:v>
      </x:c>
      <x:c r="C5" s="19" t="str">
        <x:v>当前判断</x:v>
      </x:c>
      <x:c r="D5" s="19" t="str">
        <x:v>对计划的影响</x:v>
      </x:c>
      <x:c r="E5" s="19" t="str">
        <x:v>置信度</x:v>
      </x:c>
      <x:c r="F5" s="20" t="str">
        <x:v>更新条件</x:v>
      </x:c>
    </x:row>
    <x:row r="6" ht="58" customHeight="1">
      <x:c r="A6" s="146" t="str">
        <x:v>教育</x:v>
      </x:c>
      <x:c r="B6" s="147" t="str">
        <x:v>上海大学本科自动化；研究生电子信息，预计2029年毕业</x:v>
      </x:c>
      <x:c r="C6" s="147" t="str">
        <x:v>学历不差，但40–50万岗位必须靠硬能力和成果竞争</x:v>
      </x:c>
      <x:c r="D6" s="147" t="str">
        <x:v>六周优先建立可证明能力，而不是继续堆标签</x:v>
      </x:c>
      <x:c r="E6" s="147" t="str">
        <x:v>高</x:v>
      </x:c>
      <x:c r="F6" s="147" t="str">
        <x:v>毕业时间或培养方案变化</x:v>
      </x:c>
    </x:row>
    <x:row r="7" ht="58" customHeight="1">
      <x:c r="A7" s="148" t="str">
        <x:v>成绩与能力</x:v>
      </x:c>
      <x:c r="B7" s="149" t="str">
        <x:v>考研数学126；数学基础相对较好</x:v>
      </x:c>
      <x:c r="C7" s="149" t="str">
        <x:v>具备学习算法与系统原理的潜力</x:v>
      </x:c>
      <x:c r="D7" s="149" t="str">
        <x:v>数学不从最基础重学，用测试决定补缺口</x:v>
      </x:c>
      <x:c r="E7" s="149" t="str">
        <x:v>高</x:v>
      </x:c>
      <x:c r="F7" s="149" t="str">
        <x:v>基线测试显示明显薄弱</x:v>
      </x:c>
    </x:row>
    <x:row r="8" ht="58" customHeight="1">
      <x:c r="A8" s="148" t="str">
        <x:v>编程</x:v>
      </x:c>
      <x:c r="B8" s="149" t="str">
        <x:v>C++约2/5、Python约3/5；多数内容接触过，但不能独立完成，过去大量依赖AI写代码</x:v>
      </x:c>
      <x:c r="C8" s="149" t="str">
        <x:v>当前最核心瓶颈是独立实现、调试与解释</x:v>
      </x:c>
      <x:c r="D8" s="149" t="str">
        <x:v>每天安排无AI独立编码；先补能力，不重复刷完整入门课</x:v>
      </x:c>
      <x:c r="E8" s="149" t="str">
        <x:v>高</x:v>
      </x:c>
      <x:c r="F8" s="149" t="str">
        <x:v>连续两次周测达到4/5</x:v>
      </x:c>
    </x:row>
    <x:row r="9" ht="58" customHeight="1">
      <x:c r="A9" s="148" t="str">
        <x:v>工程基础</x:v>
      </x:c>
      <x:c r="B9" s="149" t="str">
        <x:v>会Linux、Git、ROS2基本使用；数据结构、操作系统、网络基础偏弱</x:v>
      </x:c>
      <x:c r="C9" s="149" t="str">
        <x:v>工具接触面存在，系统性和深度不足</x:v>
      </x:c>
      <x:c r="D9" s="149" t="str">
        <x:v>只补当前项目需要的CMake、调试、内存、线程和性能分析</x:v>
      </x:c>
      <x:c r="E9" s="149" t="str">
        <x:v>中高</x:v>
      </x:c>
      <x:c r="F9" s="149" t="str">
        <x:v>基线/周测结果</x:v>
      </x:c>
    </x:row>
    <x:row r="10" ht="58" customHeight="1">
      <x:c r="A10" s="148" t="str">
        <x:v>机器学习</x:v>
      </x:c>
      <x:c r="B10" s="149" t="str">
        <x:v>已学习部分深度学习与神经网络；接触YOLO、OpenCV</x:v>
      </x:c>
      <x:c r="C10" s="149" t="str">
        <x:v>不能按“零基础”安排，也不能把看懂等同于掌握</x:v>
      </x:c>
      <x:c r="D10" s="149" t="str">
        <x:v>采用实现、实验和解释来验收，不以课程章节数验收</x:v>
      </x:c>
      <x:c r="E10" s="149" t="str">
        <x:v>高</x:v>
      </x:c>
      <x:c r="F10" s="149" t="str">
        <x:v>快速基线与第二周周测</x:v>
      </x:c>
    </x:row>
    <x:row r="11" ht="58" customHeight="1">
      <x:c r="A11" s="148" t="str">
        <x:v>经历</x:v>
      </x:c>
      <x:c r="B11" s="149" t="str">
        <x:v>4个月机器人创业公司实习；做过ROS2集成、RGB-D二维到三维、手眼变换、机械臂与底盘联动</x:v>
      </x:c>
      <x:c r="C11" s="149" t="str">
        <x:v>有真实系统经验，但偏集成，成功率和技术深度有限</x:v>
      </x:c>
      <x:c r="D11" s="149" t="str">
        <x:v>作为项目背景保留；不把机器人联调作为六周主线</x:v>
      </x:c>
      <x:c r="E11" s="149" t="str">
        <x:v>高</x:v>
      </x:c>
      <x:c r="F11" s="149" t="str">
        <x:v>未来找到新的核心项目</x:v>
      </x:c>
    </x:row>
    <x:row r="12" ht="58" customHeight="1">
      <x:c r="A12" s="148" t="str">
        <x:v>偏好</x:v>
      </x:c>
      <x:c r="B12" s="149" t="str">
        <x:v>不喜欢多设备连调；喜欢深入解决一个问题</x:v>
      </x:c>
      <x:c r="C12" s="149" t="str">
        <x:v>更可能适合算法深挖或AI系统/性能问题，尚不需定终身方向</x:v>
      </x:c>
      <x:c r="D12" s="149" t="str">
        <x:v>选择可深入、可测量的问题，减少硬件依赖</x:v>
      </x:c>
      <x:c r="E12" s="149" t="str">
        <x:v>高</x:v>
      </x:c>
      <x:c r="F12" s="149" t="str">
        <x:v>连续项目体验与周测反馈</x:v>
      </x:c>
    </x:row>
    <x:row r="13" ht="58" customHeight="1">
      <x:c r="A13" s="148" t="str">
        <x:v>导师</x:v>
      </x:c>
      <x:c r="B13" s="149" t="str">
        <x:v>导师周文举，管理较松，可能往视觉/底层部署；已有电机故障检测小项目背景</x:v>
      </x:c>
      <x:c r="C13" s="149" t="str">
        <x:v>导师方向可作为资源，不是职业边界</x:v>
      </x:c>
      <x:c r="D13" s="149" t="str">
        <x:v>六周先积累共同基础，开学后带成果沟通</x:v>
      </x:c>
      <x:c r="E13" s="149" t="str">
        <x:v>中</x:v>
      </x:c>
      <x:c r="F13" s="149" t="str">
        <x:v>导师给出明确课题和资源</x:v>
      </x:c>
    </x:row>
    <x:row r="14" ht="58" customHeight="1">
      <x:c r="A14" s="148" t="str">
        <x:v>地域与工作</x:v>
      </x:c>
      <x:c r="B14" s="149" t="str">
        <x:v>首选上海，可接受江浙与珠三角、深圳、长沙；不接受北京；可接受高强度工作</x:v>
      </x:c>
      <x:c r="C14" s="149" t="str">
        <x:v>求职需要兼顾岗位数量和上限</x:v>
      </x:c>
      <x:c r="D14" s="149" t="str">
        <x:v>方向筛选要看上海/深圳产业需求，但本阶段不做过早定向</x:v>
      </x:c>
      <x:c r="E14" s="149" t="str">
        <x:v>高</x:v>
      </x:c>
      <x:c r="F14" s="149" t="str">
        <x:v>个人偏好变化</x:v>
      </x:c>
    </x:row>
    <x:row r="15" ht="58" customHeight="1">
      <x:c r="A15" s="148" t="str">
        <x:v>薪资</x:v>
      </x:c>
      <x:c r="B15" s="149" t="str">
        <x:v>希望首份工作40万以上，长期目标50万以上，尽早积累资本</x:v>
      </x:c>
      <x:c r="C15" s="149" t="str">
        <x:v>目标有挑战但并非不可能，需要2–3年持续积累</x:v>
      </x:c>
      <x:c r="D15" s="149" t="str">
        <x:v>六周是第一阶段，不承诺六周直接换来高薪</x:v>
      </x:c>
      <x:c r="E15" s="149" t="str">
        <x:v>高</x:v>
      </x:c>
      <x:c r="F15" s="149" t="str">
        <x:v>目标变化</x:v>
      </x:c>
    </x:row>
    <x:row r="16" ht="58" customHeight="1">
      <x:c r="A16" s="148" t="str">
        <x:v>资源</x:v>
      </x:c>
      <x:c r="B16" s="149" t="str">
        <x:v>Ubuntu 24.04、i7-12700H、16GB、RTX 3050 Ti 4GB；当前在家约六周，每天可投入8–10小时</x:v>
      </x:c>
      <x:c r="C16" s="149" t="str">
        <x:v>足够做中小模型、C++、ONNX和性能实验；不适合大模型训练</x:v>
      </x:c>
      <x:c r="D16" s="149" t="str">
        <x:v>不因缺设备停滞；固定数据/视频比实时硬件更适合可重复实验</x:v>
      </x:c>
      <x:c r="E16" s="149" t="str">
        <x:v>高</x:v>
      </x:c>
      <x:c r="F16" s="149" t="str">
        <x:v>电脑或云资源变化</x:v>
      </x:c>
    </x:row>
    <x:row r="17" ht="58" customHeight="1">
      <x:c r="A17" s="148" t="str">
        <x:v>硬件</x:v>
      </x:c>
      <x:c r="B17" s="149" t="str">
        <x:v>曾考虑D415/D435、IMU和边缘板；预算1000–2000元</x:v>
      </x:c>
      <x:c r="C17" s="149" t="str">
        <x:v>当前没有不可替代的三维任务</x:v>
      </x:c>
      <x:c r="D17" s="149" t="str">
        <x:v>暂不购买；只有明确需要逐像素深度、点云、手眼或SLAM时重评</x:v>
      </x:c>
      <x:c r="E17" s="149" t="str">
        <x:v>高</x:v>
      </x:c>
      <x:c r="F17" s="149" t="str">
        <x:v>项目被真实硬件需求阻塞</x:v>
      </x:c>
    </x:row>
    <x:row r="18" ht="58" customHeight="1">
      <x:c r="A18" s="150" t="str">
        <x:v>战略边界</x:v>
      </x:c>
      <x:c r="B18" s="151" t="str">
        <x:v>不希望被局限在视觉、机器人或单一技术名词；量化只是举例</x:v>
      </x:c>
      <x:c r="C18" s="151" t="str">
        <x:v>六周应建立跨方向共同能力</x:v>
      </x:c>
      <x:c r="D18" s="151" t="str">
        <x:v>项目载体可以是视觉，能力目标必须是编程、实验、推理链路和性能分析</x:v>
      </x:c>
      <x:c r="E18" s="151" t="str">
        <x:v>高</x:v>
      </x:c>
      <x:c r="F18" s="151" t="str">
        <x:v>完成六周后重新评估</x:v>
      </x:c>
    </x:row>
  </x:sheetData>
  <x:mergeCells>
    <x:mergeCell ref="A1:F1"/>
    <x:mergeCell ref="A2:F3"/>
  </x:mergeCells>
  <x:dataValidations count="1">
    <x:dataValidation type="list" sqref="E6:E18">
      <x:formula1>"高,中高,中,低"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56" hidden="0" customWidth="1"/>
    <x:col min="4" max="4" width="11" hidden="0" customWidth="1"/>
    <x:col min="5" max="5" width="16" hidden="0" customWidth="1"/>
    <x:col min="6" max="6" width="12" hidden="0" customWidth="1"/>
    <x:col min="7" max="7" width="12" hidden="0" customWidth="1"/>
    <x:col min="8" max="8" width="13" hidden="0" customWidth="1"/>
    <x:col min="9" max="9" width="22" hidden="0" customWidth="1"/>
    <x:col min="10" max="10" width="30" hidden="0" customWidth="1"/>
  </x:cols>
  <x:sheetData>
    <x:row r="1" ht="34" customHeight="1">
      <x:c r="A1" s="3" t="str">
        <x:v>45–60分钟快速基线测试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目的不是证明你会不会，而是区分“看过、能解释、能独立做、能调试优化”。测试时除题目指定外不使用AI；可以直接在聊天中回答/贴代码，由Codex评分并写回本表。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</x:row>
    <x:row r="5" ht="28" customHeight="1">
      <x:c r="A5" s="18" t="str">
        <x:v>ID</x:v>
      </x:c>
      <x:c r="B5" s="19" t="str">
        <x:v>能力维度</x:v>
      </x:c>
      <x:c r="C5" s="19" t="str">
        <x:v>测试题</x:v>
      </x:c>
      <x:c r="D5" s="19" t="str">
        <x:v>限时</x:v>
      </x:c>
      <x:c r="E5" s="19" t="str">
        <x:v>方式</x:v>
      </x:c>
      <x:c r="F5" s="19" t="str">
        <x:v>权重</x:v>
      </x:c>
      <x:c r="G5" s="19" t="str">
        <x:v>得分(0–5)</x:v>
      </x:c>
      <x:c r="H5" s="19" t="str">
        <x:v>状态</x:v>
      </x:c>
      <x:c r="I5" s="19" t="str">
        <x:v>答案/证据位置</x:v>
      </x:c>
      <x:c r="J5" s="20" t="str">
        <x:v>评语与下一步</x:v>
      </x:c>
    </x:row>
    <x:row r="6" ht="64" customHeight="1">
      <x:c r="A6" s="147" t="str">
        <x:v>B1</x:v>
      </x:c>
      <x:c r="B6" s="147" t="str">
        <x:v>C++阅读与修正</x:v>
      </x:c>
      <x:c r="C6" s="147" t="str">
        <x:v>不运行代码：解释为什么 `for (auto x : v) x *= 2;` 不会修改 `vector&lt;int&gt; v`，给出两种正确写法，并说明两种写法的差别。</x:v>
      </x:c>
      <x:c r="D6" s="152" t="n">
        <x:v>6</x:v>
      </x:c>
      <x:c r="E6" s="147" t="str">
        <x:v>闭卷口述/文字</x:v>
      </x:c>
      <x:c r="F6" s="153" t="n">
        <x:v>15</x:v>
      </x:c>
      <x:c r="G6" s="147"/>
      <x:c r="H6" s="147" t="str">
        <x:v>未开始</x:v>
      </x:c>
      <x:c r="I6" s="147" t="str"/>
      <x:c r="J6" s="147" t="str"/>
    </x:row>
    <x:row r="7" ht="64" customHeight="1">
      <x:c r="A7" s="149" t="str">
        <x:v>B2</x:v>
      </x:c>
      <x:c r="B7" s="149" t="str">
        <x:v>C++独立实现</x:v>
      </x:c>
      <x:c r="C7" s="149" t="str">
        <x:v>独立写函数：输入 `vector&lt;int&gt;`，返回其中不重复的前三大元素，元素不足3个则全部返回；要求说明时间复杂度，并自己设计3个边界测试。</x:v>
      </x:c>
      <x:c r="D7" s="154" t="n">
        <x:v>12</x:v>
      </x:c>
      <x:c r="E7" s="149" t="str">
        <x:v>无AI写代码</x:v>
      </x:c>
      <x:c r="F7" s="155" t="n">
        <x:v>20</x:v>
      </x:c>
      <x:c r="G7" s="149"/>
      <x:c r="H7" s="149" t="str">
        <x:v>未开始</x:v>
      </x:c>
      <x:c r="I7" s="149" t="str"/>
      <x:c r="J7" s="149" t="str"/>
    </x:row>
    <x:row r="8" ht="64" customHeight="1">
      <x:c r="A8" s="149" t="str">
        <x:v>B3</x:v>
      </x:c>
      <x:c r="B8" s="149" t="str">
        <x:v>Python/PyTorch理解</x:v>
      </x:c>
      <x:c r="C8" s="149" t="str">
        <x:v>解释 `model.train()`、`model.eval()`、`torch.no_grad()` 的作用；如果验证集忘记调用后两者，可能出现什么问题？</x:v>
      </x:c>
      <x:c r="D8" s="154" t="n">
        <x:v>7</x:v>
      </x:c>
      <x:c r="E8" s="149" t="str">
        <x:v>闭卷口述/文字</x:v>
      </x:c>
      <x:c r="F8" s="155" t="n">
        <x:v>15</x:v>
      </x:c>
      <x:c r="G8" s="149"/>
      <x:c r="H8" s="149" t="str">
        <x:v>未开始</x:v>
      </x:c>
      <x:c r="I8" s="149" t="str"/>
      <x:c r="J8" s="149" t="str"/>
    </x:row>
    <x:row r="9" ht="64" customHeight="1">
      <x:c r="A9" s="149" t="str">
        <x:v>B4</x:v>
      </x:c>
      <x:c r="B9" s="149" t="str">
        <x:v>神经网络原理</x:v>
      </x:c>
      <x:c r="C9" s="149" t="str">
        <x:v>一个训练集准确率98%、验证集准确率72%的模型发生了什么？给出4个可能原因或改进，并说明你会先验证哪一个、为什么。</x:v>
      </x:c>
      <x:c r="D9" s="154" t="n">
        <x:v>8</x:v>
      </x:c>
      <x:c r="E9" s="149" t="str">
        <x:v>闭卷分析</x:v>
      </x:c>
      <x:c r="F9" s="155" t="n">
        <x:v>15</x:v>
      </x:c>
      <x:c r="G9" s="149"/>
      <x:c r="H9" s="149" t="str">
        <x:v>未开始</x:v>
      </x:c>
      <x:c r="I9" s="149" t="str"/>
      <x:c r="J9" s="149" t="str"/>
    </x:row>
    <x:row r="10" ht="64" customHeight="1">
      <x:c r="A10" s="149" t="str">
        <x:v>B5</x:v>
      </x:c>
      <x:c r="B10" s="149" t="str">
        <x:v>反向传播</x:v>
      </x:c>
      <x:c r="C10" s="149" t="str">
        <x:v>设 y=(wx+b)^2，w=2、x=3、b=1。计算 y、dy/dw、dy/db，并解释链式法则在这里怎样传递梯度。</x:v>
      </x:c>
      <x:c r="D10" s="154" t="n">
        <x:v>7</x:v>
      </x:c>
      <x:c r="E10" s="149" t="str">
        <x:v>纸笔/文字</x:v>
      </x:c>
      <x:c r="F10" s="155" t="n">
        <x:v>10</x:v>
      </x:c>
      <x:c r="G10" s="149"/>
      <x:c r="H10" s="149" t="str">
        <x:v>未开始</x:v>
      </x:c>
      <x:c r="I10" s="149" t="str"/>
      <x:c r="J10" s="149" t="str"/>
    </x:row>
    <x:row r="11" ht="64" customHeight="1">
      <x:c r="A11" s="149" t="str">
        <x:v>B6</x:v>
      </x:c>
      <x:c r="B11" s="149" t="str">
        <x:v>问题拆解与实验</x:v>
      </x:c>
      <x:c r="C11" s="149" t="str">
        <x:v>实时检测系统只有12 FPS。不要直接给优化方案，先写出你的定位步骤：测哪些阶段、记录哪些指标、怎样保证对比公平。</x:v>
      </x:c>
      <x:c r="D11" s="154" t="n">
        <x:v>8</x:v>
      </x:c>
      <x:c r="E11" s="149" t="str">
        <x:v>闭卷分析</x:v>
      </x:c>
      <x:c r="F11" s="155" t="n">
        <x:v>15</x:v>
      </x:c>
      <x:c r="G11" s="149"/>
      <x:c r="H11" s="149" t="str">
        <x:v>未开始</x:v>
      </x:c>
      <x:c r="I11" s="149" t="str"/>
      <x:c r="J11" s="149" t="str"/>
    </x:row>
    <x:row r="12" ht="64" customHeight="1">
      <x:c r="A12" s="151" t="str">
        <x:v>B7</x:v>
      </x:c>
      <x:c r="B12" s="151" t="str">
        <x:v>工具与调试</x:v>
      </x:c>
      <x:c r="C12" s="151" t="str">
        <x:v>说出你会怎样定位一个C++程序的段错误：从复现、缩小范围、编译选项到工具使用，按顺序说明。不会的地方可以明确写不知道。</x:v>
      </x:c>
      <x:c r="D12" s="156" t="n">
        <x:v>7</x:v>
      </x:c>
      <x:c r="E12" s="151" t="str">
        <x:v>闭卷口述/文字</x:v>
      </x:c>
      <x:c r="F12" s="157" t="n">
        <x:v>10</x:v>
      </x:c>
      <x:c r="G12" s="151"/>
      <x:c r="H12" s="151" t="str">
        <x:v>未开始</x:v>
      </x:c>
      <x:c r="I12" s="151" t="str"/>
      <x:c r="J12" s="151" t="str"/>
    </x:row>
    <x:row r="13">
      <x:c r="A13" s="76"/>
      <x:c r="B13" s="76"/>
      <x:c r="C13" s="76"/>
      <x:c r="D13" s="76"/>
      <x:c r="E13" s="76"/>
      <x:c r="F13" s="76"/>
      <x:c r="G13" s="76"/>
      <x:c r="H13" s="76"/>
      <x:c r="I13" s="76"/>
      <x:c r="J13" s="76"/>
    </x:row>
    <x:row r="14">
      <x:c r="A14" s="76"/>
      <x:c r="B14" s="76"/>
      <x:c r="C14" s="76"/>
      <x:c r="D14" s="76"/>
      <x:c r="E14" s="76"/>
      <x:c r="F14" s="76"/>
      <x:c r="G14" s="76"/>
      <x:c r="H14" s="76"/>
      <x:c r="I14" s="76"/>
      <x:c r="J14" s="76"/>
    </x:row>
    <x:row r="15">
      <x:c r="A15" s="158" t="str">
        <x:v>加权基线得分（满分5）</x:v>
      </x:c>
      <x:c r="B15" s="158"/>
      <x:c r="C15" s="158"/>
      <x:c r="D15" s="158"/>
      <x:c r="E15" s="158"/>
      <x:c r="F15" s="158"/>
      <x:c r="G15" s="159" t="str">
        <x:f>IF(COUNT(G6:G12)=0,"待测",SUMPRODUCT(G6:G12,F6:F12)/SUM(F6:F12))</x:f>
        <x:v>待测</x:v>
      </x:c>
      <x:c r="H15" s="160" t="str">
        <x:v>完成后：由Codex把结果更新到“03_能力矩阵”，再校准六周时数。</x:v>
      </x:c>
      <x:c r="I15" s="160"/>
      <x:c r="J15" s="160"/>
    </x:row>
  </x:sheetData>
  <x:mergeCells>
    <x:mergeCell ref="A1:J1"/>
    <x:mergeCell ref="A2:J3"/>
    <x:mergeCell ref="A15:F15"/>
    <x:mergeCell ref="H15:J15"/>
  </x:mergeCells>
  <x:conditionalFormatting sqref="H6:H12">
    <x:cfRule type="containsText" dxfId="0" priority="1" operator="containsText" text="已完成"/>
    <x:cfRule type="containsText" dxfId="1" priority="2" operator="containsText" text="需复测"/>
  </x:conditionalFormatting>
  <x:dataValidations count="2">
    <x:dataValidation type="whole" operator="between" sqref="G6:G12">
      <x:formula1>0</x:formula1>
      <x:formula2>5</x:formula2>
    </x:dataValidation>
    <x:dataValidation type="list" sqref="H6:H12">
      <x:formula1>"未开始,进行中,已完成,需复测"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3" hidden="0" customWidth="1"/>
    <x:col min="9" max="9" width="28" hidden="0" customWidth="1"/>
  </x:cols>
  <x:sheetData>
    <x:row r="1" ht="34" customHeight="1">
      <x:c r="A1" s="3" t="str">
        <x:v>能力矩阵与时间优先级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“暂估分”来自当前对话，只用于启动；快速测试后填入“测后分”。有效分与建议周时数自动更新。评分：0没接触，1看过，2能跟做，3能独立完成，4能解释调试，5能设计与优化。</x:v>
      </x:c>
      <x:c r="B2" s="7"/>
      <x:c r="C2" s="7"/>
      <x:c r="D2" s="7"/>
      <x:c r="E2" s="7"/>
      <x:c r="F2" s="7"/>
      <x:c r="G2" s="7"/>
      <x:c r="H2" s="7"/>
      <x:c r="I2" s="7"/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</x:row>
    <x:row r="5" ht="28" customHeight="1">
      <x:c r="A5" s="18" t="str">
        <x:v>能力</x:v>
      </x:c>
      <x:c r="B5" s="19" t="str">
        <x:v>重要权重</x:v>
      </x:c>
      <x:c r="C5" s="19" t="str">
        <x:v>暂估分</x:v>
      </x:c>
      <x:c r="D5" s="19" t="str">
        <x:v>测后分</x:v>
      </x:c>
      <x:c r="E5" s="19" t="str">
        <x:v>有效分</x:v>
      </x:c>
      <x:c r="F5" s="19" t="str">
        <x:v>差距优先值</x:v>
      </x:c>
      <x:c r="G5" s="19" t="str">
        <x:v>建议周时数</x:v>
      </x:c>
      <x:c r="H5" s="19" t="str">
        <x:v>六周验收目标</x:v>
      </x:c>
      <x:c r="I5" s="20" t="str">
        <x:v>证据</x:v>
      </x:c>
    </x:row>
    <x:row r="6" ht="50" customHeight="1">
      <x:c r="A6" s="147" t="str">
        <x:v>C++语言与STL</x:v>
      </x:c>
      <x:c r="B6" s="153" t="n">
        <x:v>15</x:v>
      </x:c>
      <x:c r="C6" s="161" t="n">
        <x:v>1.5</x:v>
      </x:c>
      <x:c r="D6" s="161"/>
      <x:c r="E6" s="161" t="n">
        <x:f>IF(D6="",C6,D6)</x:f>
        <x:v>1.5</x:v>
      </x:c>
      <x:c r="F6" s="161" t="n">
        <x:f>B6*(5-E6)</x:f>
        <x:v>52.5</x:v>
      </x:c>
      <x:c r="G6" s="162" t="n">
        <x:f>ROUND(48*F6/SUM($F$6:$F$15),1)</x:f>
        <x:v>8.5</x:v>
      </x:c>
      <x:c r="H6" s="147" t="str">
        <x:v>能独立完成模块拆分、容器使用、资源管理和错误处理</x:v>
      </x:c>
      <x:c r="I6" s="147" t="str"/>
    </x:row>
    <x:row r="7" ht="50" customHeight="1">
      <x:c r="A7" s="149" t="str">
        <x:v>CMake/Linux/调试</x:v>
      </x:c>
      <x:c r="B7" s="155" t="n">
        <x:v>10</x:v>
      </x:c>
      <x:c r="C7" s="163" t="n">
        <x:v>2.5</x:v>
      </x:c>
      <x:c r="D7" s="163"/>
      <x:c r="E7" s="163" t="n">
        <x:f>IF(D7="",C7,D7)</x:f>
        <x:v>2.5</x:v>
      </x:c>
      <x:c r="F7" s="163" t="n">
        <x:f>B7*(5-E7)</x:f>
        <x:v>25</x:v>
      </x:c>
      <x:c r="G7" s="164" t="n">
        <x:f>ROUND(48*F7/SUM($F$6:$F$15),1)</x:f>
        <x:v>4</x:v>
      </x:c>
      <x:c r="H7" s="149" t="str">
        <x:v>能构建、定位编译/链接/运行错误，使用gdb与性能工具</x:v>
      </x:c>
      <x:c r="I7" s="149" t="str"/>
    </x:row>
    <x:row r="8" ht="50" customHeight="1">
      <x:c r="A8" s="149" t="str">
        <x:v>Python/NumPy</x:v>
      </x:c>
      <x:c r="B8" s="155" t="n">
        <x:v>8</x:v>
      </x:c>
      <x:c r="C8" s="163" t="n">
        <x:v>2</x:v>
      </x:c>
      <x:c r="D8" s="163"/>
      <x:c r="E8" s="163" t="n">
        <x:f>IF(D8="",C8,D8)</x:f>
        <x:v>2</x:v>
      </x:c>
      <x:c r="F8" s="163" t="n">
        <x:f>B8*(5-E8)</x:f>
        <x:v>24</x:v>
      </x:c>
      <x:c r="G8" s="164" t="n">
        <x:f>ROUND(48*F8/SUM($F$6:$F$15),1)</x:f>
        <x:v>3.9</x:v>
      </x:c>
      <x:c r="H8" s="149" t="str">
        <x:v>能独立完成数据处理、实验脚本和结果分析</x:v>
      </x:c>
      <x:c r="I8" s="149" t="str"/>
    </x:row>
    <x:row r="9" ht="50" customHeight="1">
      <x:c r="A9" s="149" t="str">
        <x:v>PyTorch训练工程</x:v>
      </x:c>
      <x:c r="B9" s="155" t="n">
        <x:v>12</x:v>
      </x:c>
      <x:c r="C9" s="163" t="n">
        <x:v>2</x:v>
      </x:c>
      <x:c r="D9" s="163"/>
      <x:c r="E9" s="163" t="n">
        <x:f>IF(D9="",C9,D9)</x:f>
        <x:v>2</x:v>
      </x:c>
      <x:c r="F9" s="163" t="n">
        <x:f>B9*(5-E9)</x:f>
        <x:v>36</x:v>
      </x:c>
      <x:c r="G9" s="164" t="n">
        <x:f>ROUND(48*F9/SUM($F$6:$F$15),1)</x:f>
        <x:v>5.8</x:v>
      </x:c>
      <x:c r="H9" s="149" t="str">
        <x:v>能独立完成数据、模型、训练、验证、保存和复现</x:v>
      </x:c>
      <x:c r="I9" s="149" t="str"/>
    </x:row>
    <x:row r="10" ht="50" customHeight="1">
      <x:c r="A10" s="149" t="str">
        <x:v>神经网络原理</x:v>
      </x:c>
      <x:c r="B10" s="155" t="n">
        <x:v>14</x:v>
      </x:c>
      <x:c r="C10" s="163" t="n">
        <x:v>2.5</x:v>
      </x:c>
      <x:c r="D10" s="163"/>
      <x:c r="E10" s="163" t="n">
        <x:f>IF(D10="",C10,D10)</x:f>
        <x:v>2.5</x:v>
      </x:c>
      <x:c r="F10" s="163" t="n">
        <x:f>B10*(5-E10)</x:f>
        <x:v>35</x:v>
      </x:c>
      <x:c r="G10" s="164" t="n">
        <x:f>ROUND(48*F10/SUM($F$6:$F$15),1)</x:f>
        <x:v>5.7</x:v>
      </x:c>
      <x:c r="H10" s="149" t="str">
        <x:v>能解释反向传播、优化、正则化、CNN/注意力核心机制</x:v>
      </x:c>
      <x:c r="I10" s="149" t="str"/>
    </x:row>
    <x:row r="11" ht="50" customHeight="1">
      <x:c r="A11" s="149" t="str">
        <x:v>数学与推导</x:v>
      </x:c>
      <x:c r="B11" s="155" t="n">
        <x:v>8</x:v>
      </x:c>
      <x:c r="C11" s="163" t="n">
        <x:v>3.5</x:v>
      </x:c>
      <x:c r="D11" s="163"/>
      <x:c r="E11" s="163" t="n">
        <x:f>IF(D11="",C11,D11)</x:f>
        <x:v>3.5</x:v>
      </x:c>
      <x:c r="F11" s="163" t="n">
        <x:f>B11*(5-E11)</x:f>
        <x:v>12</x:v>
      </x:c>
      <x:c r="G11" s="164" t="n">
        <x:f>ROUND(48*F11/SUM($F$6:$F$15),1)</x:f>
        <x:v>1.9</x:v>
      </x:c>
      <x:c r="H11" s="149" t="str">
        <x:v>能完成当前模型所需推导并把公式对应到实现</x:v>
      </x:c>
      <x:c r="I11" s="149" t="str"/>
    </x:row>
    <x:row r="12" ht="50" customHeight="1">
      <x:c r="A12" s="149" t="str">
        <x:v>实验设计与指标</x:v>
      </x:c>
      <x:c r="B12" s="155" t="n">
        <x:v>10</x:v>
      </x:c>
      <x:c r="C12" s="163" t="n">
        <x:v>1.5</x:v>
      </x:c>
      <x:c r="D12" s="163"/>
      <x:c r="E12" s="163" t="n">
        <x:f>IF(D12="",C12,D12)</x:f>
        <x:v>1.5</x:v>
      </x:c>
      <x:c r="F12" s="163" t="n">
        <x:f>B12*(5-E12)</x:f>
        <x:v>35</x:v>
      </x:c>
      <x:c r="G12" s="164" t="n">
        <x:f>ROUND(48*F12/SUM($F$6:$F$15),1)</x:f>
        <x:v>5.7</x:v>
      </x:c>
      <x:c r="H12" s="149" t="str">
        <x:v>能建立基线、控制变量、记录指标并分析失败</x:v>
      </x:c>
      <x:c r="I12" s="149" t="str"/>
    </x:row>
    <x:row r="13" ht="50" customHeight="1">
      <x:c r="A13" s="149" t="str">
        <x:v>问题拆解与调试</x:v>
      </x:c>
      <x:c r="B13" s="155" t="n">
        <x:v>10</x:v>
      </x:c>
      <x:c r="C13" s="163" t="n">
        <x:v>2</x:v>
      </x:c>
      <x:c r="D13" s="163"/>
      <x:c r="E13" s="163" t="n">
        <x:f>IF(D13="",C13,D13)</x:f>
        <x:v>2</x:v>
      </x:c>
      <x:c r="F13" s="163" t="n">
        <x:f>B13*(5-E13)</x:f>
        <x:v>30</x:v>
      </x:c>
      <x:c r="G13" s="164" t="n">
        <x:f>ROUND(48*F13/SUM($F$6:$F$15),1)</x:f>
        <x:v>4.9</x:v>
      </x:c>
      <x:c r="H13" s="149" t="str">
        <x:v>面对未知问题先定位证据，再提出和验证假设</x:v>
      </x:c>
      <x:c r="I13" s="149" t="str"/>
    </x:row>
    <x:row r="14" ht="50" customHeight="1">
      <x:c r="A14" s="149" t="str">
        <x:v>独立编码</x:v>
      </x:c>
      <x:c r="B14" s="155" t="n">
        <x:v>8</x:v>
      </x:c>
      <x:c r="C14" s="163" t="n">
        <x:v>1</x:v>
      </x:c>
      <x:c r="D14" s="163"/>
      <x:c r="E14" s="163" t="n">
        <x:f>IF(D14="",C14,D14)</x:f>
        <x:v>1</x:v>
      </x:c>
      <x:c r="F14" s="163" t="n">
        <x:f>B14*(5-E14)</x:f>
        <x:v>32</x:v>
      </x:c>
      <x:c r="G14" s="164" t="n">
        <x:f>ROUND(48*F14/SUM($F$6:$F$15),1)</x:f>
        <x:v>5.2</x:v>
      </x:c>
      <x:c r="H14" s="149" t="str">
        <x:v>核心模块不依赖AI整段生成，能现场修改需求</x:v>
      </x:c>
      <x:c r="I14" s="149" t="str"/>
    </x:row>
    <x:row r="15" ht="50" customHeight="1">
      <x:c r="A15" s="151" t="str">
        <x:v>文档与复现</x:v>
      </x:c>
      <x:c r="B15" s="157" t="n">
        <x:v>5</x:v>
      </x:c>
      <x:c r="C15" s="165" t="n">
        <x:v>2</x:v>
      </x:c>
      <x:c r="D15" s="165"/>
      <x:c r="E15" s="165" t="n">
        <x:f>IF(D15="",C15,D15)</x:f>
        <x:v>2</x:v>
      </x:c>
      <x:c r="F15" s="165" t="n">
        <x:f>B15*(5-E15)</x:f>
        <x:v>15</x:v>
      </x:c>
      <x:c r="G15" s="166" t="n">
        <x:f>ROUND(48*F15/SUM($F$6:$F$15),1)</x:f>
        <x:v>2.4</x:v>
      </x:c>
      <x:c r="H15" s="151" t="str">
        <x:v>陌生人按README能复现实验与推理结果</x:v>
      </x:c>
      <x:c r="I15" s="151" t="str"/>
    </x:row>
    <x:row r="16">
      <x:c r="A16" s="76"/>
      <x:c r="B16" s="76"/>
      <x:c r="C16" s="76"/>
      <x:c r="D16" s="76"/>
      <x:c r="E16" s="76"/>
      <x:c r="F16" s="76"/>
      <x:c r="G16" s="76"/>
      <x:c r="H16" s="76"/>
      <x:c r="I16" s="76"/>
    </x:row>
    <x:row r="17">
      <x:c r="A17" s="158" t="str">
        <x:v>综合有效分</x:v>
      </x:c>
      <x:c r="B17" s="158"/>
      <x:c r="C17" s="158"/>
      <x:c r="D17" s="158"/>
      <x:c r="E17" s="159" t="n">
        <x:f>SUMPRODUCT(E6:E15,B6:B15)/SUM(B6:B15)</x:f>
        <x:v>2.035</x:v>
      </x:c>
      <x:c r="F17" s="158" t="str">
        <x:v>周时数合计</x:v>
      </x:c>
      <x:c r="G17" s="167" t="n">
        <x:f>SUM(G6:G15)</x:f>
        <x:v>48</x:v>
      </x:c>
      <x:c r="H17" s="76"/>
      <x:c r="I17" s="76"/>
    </x:row>
  </x:sheetData>
  <x:mergeCells>
    <x:mergeCell ref="A1:I1"/>
    <x:mergeCell ref="A2:I3"/>
    <x:mergeCell ref="A17:D17"/>
  </x:mergeCells>
  <x:conditionalFormatting sqref="E6:E15">
    <x:cfRule type="colorScale" priority="1">
      <x:colorScale>
        <x:cfvo type="min"/>
        <x:cfvo type="percentile" val="50"/>
        <x:cfvo type="max"/>
        <x:color rgb="FFFEF2F2"/>
        <x:color rgb="FFFFF7E6"/>
        <x:color rgb="FFECFDF3"/>
      </x:colorScale>
    </x:cfRule>
  </x:conditionalFormatting>
  <x:conditionalFormatting sqref="F6:F15">
    <x:cfRule type="dataBar" priority="2">
      <x:dataBar>
        <x:cfvo type="min"/>
        <x:cfvo type="max"/>
        <x:color rgb="FF2563EB"/>
      </x:dataBar>
    </x:cfRule>
  </x:conditionalFormatting>
  <x:dataValidations count="1">
    <x:dataValidation type="decimal" operator="between" sqref="D6:D15">
      <x:formula1>0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38" hidden="0" customWidth="1"/>
    <x:col min="5" max="5" width="32" hidden="0" customWidth="1"/>
    <x:col min="6" max="6" width="38" hidden="0" customWidth="1"/>
    <x:col min="7" max="7" width="12" hidden="0" customWidth="1"/>
    <x:col min="8" max="8" width="12" hidden="0" customWidth="1"/>
    <x:col min="9" max="9" width="28" hidden="0" customWidth="1"/>
    <x:col min="10" max="10" width="36" hidden="0" customWidth="1"/>
  </x:cols>
  <x:sheetData>
    <x:row r="1" ht="34" customHeight="1">
      <x:c r="A1" s="3" t="str">
        <x:v>六周战略总表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方向暂不锁死，工作必须明确。六周只走一条共同能力主线：独立编程 → 神经网络实验 → 模型工程 → C++推理 → 性能分析 → 完整交付。视觉只是低成本载体，不购买硬件。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</x:row>
    <x:row r="5" ht="28" customHeight="1">
      <x:c r="A5" s="18" t="str">
        <x:v>周次</x:v>
      </x:c>
      <x:c r="B5" s="19" t="str">
        <x:v>阶段目标</x:v>
      </x:c>
      <x:c r="C5" s="19" t="str">
        <x:v>核心学习</x:v>
      </x:c>
      <x:c r="D5" s="19" t="str">
        <x:v>必须动手</x:v>
      </x:c>
      <x:c r="E5" s="19" t="str">
        <x:v>周交付物</x:v>
      </x:c>
      <x:c r="F5" s="19" t="str">
        <x:v>验收条件</x:v>
      </x:c>
      <x:c r="G5" s="19" t="str">
        <x:v>核心时数</x:v>
      </x:c>
      <x:c r="H5" s="19" t="str">
        <x:v>可选时数</x:v>
      </x:c>
      <x:c r="I5" s="19" t="str">
        <x:v>周测</x:v>
      </x:c>
      <x:c r="J5" s="20" t="str">
        <x:v>调整规则</x:v>
      </x:c>
    </x:row>
    <x:row r="6" ht="92" customHeight="1">
      <x:c r="A6" s="147" t="n">
        <x:v>1</x:v>
      </x:c>
      <x:c r="B6" s="147" t="str">
        <x:v>恢复独立编码能力</x:v>
      </x:c>
      <x:c r="C6" s="147" t="str">
        <x:v>C++语法缺口、STL、函数/类、引用与资源管理；CMake、gdb；Python基础整理</x:v>
      </x:c>
      <x:c r="D6" s="147" t="str">
        <x:v>每天至少2小时无AI写小程序；把一个单文件程序拆成多文件工程</x:v>
      </x:c>
      <x:c r="E6" s="147" t="str">
        <x:v>独立编码仓库v0.1、边界测试、错误记录</x:v>
      </x:c>
      <x:c r="F6" s="147" t="str">
        <x:v>能在60分钟内独立完成中等小题并解释复杂度；能用gdb定位一个错误</x:v>
      </x:c>
      <x:c r="G6" s="168" t="n">
        <x:v>48</x:v>
      </x:c>
      <x:c r="H6" s="168" t="n">
        <x:v>6</x:v>
      </x:c>
      <x:c r="I6" s="147" t="str">
        <x:v>W1：C++闭卷编码＋调试</x:v>
      </x:c>
      <x:c r="J6" s="147" t="str">
        <x:v>若C++测后分≥3，减少语法学习，增加工程与测试</x:v>
      </x:c>
    </x:row>
    <x:row r="7" ht="92" customHeight="1">
      <x:c r="A7" s="149" t="n">
        <x:v>2</x:v>
      </x:c>
      <x:c r="B7" s="149" t="str">
        <x:v>把神经网络知识变成可运行实验</x:v>
      </x:c>
      <x:c r="C7" s="149" t="str">
        <x:v>反向传播、初始化、优化器、正则化、CNN；PyTorch数据/训练/验证</x:v>
      </x:c>
      <x:c r="D7" s="149" t="str">
        <x:v>手写一个小型MLP反向传播；独立搭建PyTorch训练管线</x:v>
      </x:c>
      <x:c r="E7" s="149" t="str">
        <x:v>可复现实验v0.2、训练曲线、失败分析</x:v>
      </x:c>
      <x:c r="F7" s="149" t="str">
        <x:v>可以解释每一段训练代码；能诊断过拟合而不是只调参</x:v>
      </x:c>
      <x:c r="G7" s="169" t="n">
        <x:v>48</x:v>
      </x:c>
      <x:c r="H7" s="169" t="n">
        <x:v>6</x:v>
      </x:c>
      <x:c r="I7" s="149" t="str">
        <x:v>W2：从空文件完成训练骨架</x:v>
      </x:c>
      <x:c r="J7" s="149" t="str">
        <x:v>已掌握的理论跳过讲课，直接用实现与解释验收</x:v>
      </x:c>
    </x:row>
    <x:row r="8" ht="92" customHeight="1">
      <x:c r="A8" s="149" t="n">
        <x:v>3</x:v>
      </x:c>
      <x:c r="B8" s="149" t="str">
        <x:v>建立规范的模型实验能力</x:v>
      </x:c>
      <x:c r="C8" s="149" t="str">
        <x:v>数据划分、指标、随机种子、配置、日志、消融与误差分析</x:v>
      </x:c>
      <x:c r="D8" s="149" t="str">
        <x:v>在固定公开数据上建立基线，只改变一个变量完成2–3组受控实验</x:v>
      </x:c>
      <x:c r="E8" s="149" t="str">
        <x:v>实验报告v0.3、配置与结果表</x:v>
      </x:c>
      <x:c r="F8" s="149" t="str">
        <x:v>实验可复现；结论由数据支持；能说明无效实验为何无效</x:v>
      </x:c>
      <x:c r="G8" s="169" t="n">
        <x:v>48</x:v>
      </x:c>
      <x:c r="H8" s="169" t="n">
        <x:v>6</x:v>
      </x:c>
      <x:c r="I8" s="149" t="str">
        <x:v>W3：诊断陌生训练结果</x:v>
      </x:c>
      <x:c r="J8" s="149" t="str">
        <x:v>若实验设计薄弱，减少新模型学习，优先补基线与控制变量</x:v>
      </x:c>
    </x:row>
    <x:row r="9" ht="92" customHeight="1">
      <x:c r="A9" s="149" t="n">
        <x:v>4</x:v>
      </x:c>
      <x:c r="B9" s="149" t="str">
        <x:v>打通模型到C++推理</x:v>
      </x:c>
      <x:c r="C9" s="149" t="str">
        <x:v>ONNX计算图、动态/静态形状、预处理与后处理、ONNX Runtime、数值一致性</x:v>
      </x:c>
      <x:c r="D9" s="149" t="str">
        <x:v>完成PyTorch导出、Python ONNX推理、C++ ONNX推理；复用图片/视频/电脑摄像头</x:v>
      </x:c>
      <x:c r="E9" s="149" t="str">
        <x:v>端到端仓库v0.4、输出误差对比</x:v>
      </x:c>
      <x:c r="F9" s="149" t="str">
        <x:v>同一输入跨后端输出一致；代码能构建；关键模块能独立修改</x:v>
      </x:c>
      <x:c r="G9" s="169" t="n">
        <x:v>48</x:v>
      </x:c>
      <x:c r="H9" s="169" t="n">
        <x:v>8</x:v>
      </x:c>
      <x:c r="I9" s="149" t="str">
        <x:v>W4：限时补全C++推理模块</x:v>
      </x:c>
      <x:c r="J9" s="149" t="str">
        <x:v>如果环境安装阻塞超过半天，先CPU链路，不因CUDA停工</x:v>
      </x:c>
    </x:row>
    <x:row r="10" ht="92" customHeight="1">
      <x:c r="A10" s="149" t="n">
        <x:v>5</x:v>
      </x:c>
      <x:c r="B10" s="149" t="str">
        <x:v>用证据解决性能问题</x:v>
      </x:c>
      <x:c r="C10" s="149" t="str">
        <x:v>benchmark方法、预热、p50/p95、吞吐量、内存、数据拷贝、线程与profiling</x:v>
      </x:c>
      <x:c r="D10" s="149" t="str">
        <x:v>拆分各阶段耗时，定位最大瓶颈；选择两项改进并做公平对比</x:v>
      </x:c>
      <x:c r="E10" s="149" t="str">
        <x:v>性能报告v0.5、原始数据与复现实验</x:v>
      </x:c>
      <x:c r="F10" s="149" t="str">
        <x:v>至少两项改进有量化证据；能解释为何整体加速可能小于单阶段加速</x:v>
      </x:c>
      <x:c r="G10" s="169" t="n">
        <x:v>48</x:v>
      </x:c>
      <x:c r="H10" s="169" t="n">
        <x:v>8</x:v>
      </x:c>
      <x:c r="I10" s="149" t="str">
        <x:v>W5：给陌生慢程序做定位方案</x:v>
      </x:c>
      <x:c r="J10" s="149" t="str">
        <x:v>FP16/INT8/线程只是候选手段，不把工具名当成果</x:v>
      </x:c>
    </x:row>
    <x:row r="11" ht="92" customHeight="1">
      <x:c r="A11" s="151" t="n">
        <x:v>6</x:v>
      </x:c>
      <x:c r="B11" s="151" t="str">
        <x:v>形成可展示、可答辩的完整成果</x:v>
      </x:c>
      <x:c r="C11" s="151" t="str">
        <x:v>测试、重构、README、技术写作、演示、简历表达与现场修改</x:v>
      </x:c>
      <x:c r="D11" s="151" t="str">
        <x:v>修复遗留问题；录制演示；让陌生人按说明复现；接受一个临时需求变更</x:v>
      </x:c>
      <x:c r="E11" s="151" t="str">
        <x:v>最终仓库v1.0、演示视频、技术报告、简历要点</x:v>
      </x:c>
      <x:c r="F11" s="151" t="str">
        <x:v>能连续30分钟解释系统；2小时内完成合理修改；没有无法解释的核心代码</x:v>
      </x:c>
      <x:c r="G11" s="170" t="n">
        <x:v>48</x:v>
      </x:c>
      <x:c r="H11" s="170" t="n">
        <x:v>8</x:v>
      </x:c>
      <x:c r="I11" s="151" t="str">
        <x:v>W6：最终答辩＋现场变更</x:v>
      </x:c>
      <x:c r="J11" s="151" t="str">
        <x:v>六周结束后才根据真实表现决定下一阶段深入算法或AI系统</x:v>
      </x:c>
    </x:row>
    <x:row r="12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</x:row>
    <x:row r="13">
      <x:c r="A13" s="130" t="str">
        <x:v>AI 使用约束</x:v>
      </x:c>
      <x:c r="B13" s="130"/>
      <x:c r="C13" s="130"/>
      <x:c r="D13" s="130"/>
      <x:c r="E13" s="130"/>
      <x:c r="F13" s="130"/>
      <x:c r="G13" s="130"/>
      <x:c r="H13" s="130"/>
      <x:c r="I13" s="130"/>
      <x:c r="J13" s="130"/>
    </x:row>
    <x:row r="14" ht="44" customHeight="1">
      <x:c r="A14" s="91" t="str">
        <x:v>规则</x:v>
      </x:c>
      <x:c r="B14" s="92" t="str">
        <x:v>具体要求</x:v>
      </x:c>
      <x:c r="C14" s="93" t="str">
        <x:v>原因</x:v>
      </x:c>
      <x:c r="D14" s="76" t="str"/>
      <x:c r="E14" s="76" t="str"/>
      <x:c r="F14" s="76" t="str"/>
      <x:c r="G14" s="76" t="str"/>
      <x:c r="H14" s="76" t="str"/>
      <x:c r="I14" s="76" t="str"/>
      <x:c r="J14" s="76" t="str"/>
    </x:row>
    <x:row r="15" ht="44" customHeight="1">
      <x:c r="A15" s="85" t="str">
        <x:v>先独立尝试</x:v>
      </x:c>
      <x:c r="B15" s="86" t="str">
        <x:v>核心题先独立思考20–30分钟，记录卡点，再向AI要提示</x:v>
      </x:c>
      <x:c r="C15" s="87" t="str">
        <x:v>避免把不会做误判为已经掌握</x:v>
      </x:c>
      <x:c r="D15" s="76" t="str"/>
      <x:c r="E15" s="76" t="str"/>
      <x:c r="F15" s="76" t="str"/>
      <x:c r="G15" s="76" t="str"/>
      <x:c r="H15" s="76" t="str"/>
      <x:c r="I15" s="76" t="str"/>
      <x:c r="J15" s="76" t="str"/>
    </x:row>
    <x:row r="16" ht="44" customHeight="1">
      <x:c r="A16" s="85" t="str">
        <x:v>提示优先</x:v>
      </x:c>
      <x:c r="B16" s="86" t="str">
        <x:v>优先让AI解释错误、审查方案、给测试用例；不直接索要完整项目</x:v>
      </x:c>
      <x:c r="C16" s="87" t="str">
        <x:v>让AI提高反馈速度，不替代能力形成</x:v>
      </x:c>
      <x:c r="D16" s="76" t="str"/>
      <x:c r="E16" s="76" t="str"/>
      <x:c r="F16" s="76" t="str"/>
      <x:c r="G16" s="76" t="str"/>
      <x:c r="H16" s="76" t="str"/>
      <x:c r="I16" s="76" t="str"/>
      <x:c r="J16" s="76" t="str"/>
    </x:row>
    <x:row r="17" ht="44" customHeight="1">
      <x:c r="A17" s="85" t="str">
        <x:v>合并门槛</x:v>
      </x:c>
      <x:c r="B17" s="86" t="str">
        <x:v>不能解释、不能修改、没有测试的AI代码不得合入核心项目</x:v>
      </x:c>
      <x:c r="C17" s="87" t="str">
        <x:v>最终成果必须属于你自己</x:v>
      </x:c>
      <x:c r="D17" s="76" t="str"/>
      <x:c r="E17" s="76" t="str"/>
      <x:c r="F17" s="76" t="str"/>
      <x:c r="G17" s="76" t="str"/>
      <x:c r="H17" s="76" t="str"/>
      <x:c r="I17" s="76" t="str"/>
      <x:c r="J17" s="76" t="str"/>
    </x:row>
    <x:row r="18" ht="44" customHeight="1">
      <x:c r="A18" s="88" t="str">
        <x:v>每周闭卷</x:v>
      </x:c>
      <x:c r="B18" s="89" t="str">
        <x:v>每周至少一次45–90分钟无AI测试，以现场表现调整下周计划</x:v>
      </x:c>
      <x:c r="C18" s="90" t="str">
        <x:v>用真实能力而非学习时长评估进度</x:v>
      </x:c>
      <x:c r="D18" s="76" t="str"/>
      <x:c r="E18" s="76" t="str"/>
      <x:c r="F18" s="76" t="str"/>
      <x:c r="G18" s="76" t="str"/>
      <x:c r="H18" s="76" t="str"/>
      <x:c r="I18" s="76" t="str"/>
      <x:c r="J18" s="76" t="str"/>
    </x:row>
  </x:sheetData>
  <x:mergeCells>
    <x:mergeCell ref="A1:J1"/>
    <x:mergeCell ref="A2:J3"/>
    <x:mergeCell ref="A13:J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13" hidden="0" customWidth="1"/>
    <x:col min="9" max="9" width="28" hidden="0" customWidth="1"/>
    <x:col min="10" max="10" width="15" hidden="0" customWidth="1"/>
    <x:col min="11" max="11" width="18" hidden="0" customWidth="1"/>
    <x:col min="12" max="12" width="34" hidden="0" customWidth="1"/>
    <x:col min="13" max="13" width="34" hidden="0" customWidth="1"/>
  </x:cols>
  <x:sheetData>
    <x:row r="1" ht="34" customHeight="1">
      <x:c r="A1" s="3" t="str">
        <x:v>每日执行与证据记录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每天只记录可验证产出，不记录“看了多久”。建议每周6天完整学习＋1天短测/复盘；核心48小时，可选6–8小时。黄色列由你填写。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</x:row>
    <x:row r="5" ht="28" customHeight="1">
      <x:c r="A5" s="18" t="str">
        <x:v>总天数</x:v>
      </x:c>
      <x:c r="B5" s="19" t="str">
        <x:v>周次</x:v>
      </x:c>
      <x:c r="C5" s="19" t="str">
        <x:v>周内日</x:v>
      </x:c>
      <x:c r="D5" s="19" t="str">
        <x:v>日类型</x:v>
      </x:c>
      <x:c r="E5" s="19" t="str">
        <x:v>当天主任务</x:v>
      </x:c>
      <x:c r="F5" s="19" t="str">
        <x:v>计划时数</x:v>
      </x:c>
      <x:c r="G5" s="19" t="str">
        <x:v>实际时数</x:v>
      </x:c>
      <x:c r="H5" s="19" t="str">
        <x:v>状态</x:v>
      </x:c>
      <x:c r="I5" s="19" t="str">
        <x:v>产出/提交链接</x:v>
      </x:c>
      <x:c r="J5" s="19" t="str">
        <x:v>无AI编码时数</x:v>
      </x:c>
      <x:c r="K5" s="19" t="str">
        <x:v>AI使用方式</x:v>
      </x:c>
      <x:c r="L5" s="19" t="str">
        <x:v>最大卡点</x:v>
      </x:c>
      <x:c r="M5" s="20" t="str">
        <x:v>明日第一步</x:v>
      </x:c>
    </x:row>
    <x:row r="6" ht="42" customHeight="1">
      <x:c r="A6" s="147" t="n">
        <x:v>1</x:v>
      </x:c>
      <x:c r="B6" s="147" t="n">
        <x:v>1</x:v>
      </x:c>
      <x:c r="C6" s="147" t="n">
        <x:v>1</x:v>
      </x:c>
      <x:c r="D6" s="147" t="str">
        <x:v>原理＋小实现</x:v>
      </x:c>
      <x:c r="E6" s="147" t="str">
        <x:v>C++/Python独立编码、CMake与调试｜原理＋小实现</x:v>
      </x:c>
      <x:c r="F6" s="162" t="n">
        <x:v>8</x:v>
      </x:c>
      <x:c r="G6" s="171"/>
      <x:c r="H6" s="172" t="str">
        <x:v>未开始</x:v>
      </x:c>
      <x:c r="I6" s="172" t="str"/>
      <x:c r="J6" s="173"/>
      <x:c r="K6" s="172" t="str"/>
      <x:c r="L6" s="172" t="str"/>
      <x:c r="M6" s="172" t="str"/>
    </x:row>
    <x:row r="7" ht="42" customHeight="1">
      <x:c r="A7" s="149" t="n">
        <x:v>2</x:v>
      </x:c>
      <x:c r="B7" s="149" t="n">
        <x:v>1</x:v>
      </x:c>
      <x:c r="C7" s="149" t="n">
        <x:v>2</x:v>
      </x:c>
      <x:c r="D7" s="149" t="str">
        <x:v>独立编码</x:v>
      </x:c>
      <x:c r="E7" s="149" t="str">
        <x:v>C++/Python独立编码、CMake与调试｜独立编码</x:v>
      </x:c>
      <x:c r="F7" s="164" t="n">
        <x:v>8</x:v>
      </x:c>
      <x:c r="G7" s="174"/>
      <x:c r="H7" s="175" t="str">
        <x:v>未开始</x:v>
      </x:c>
      <x:c r="I7" s="175" t="str"/>
      <x:c r="J7" s="176"/>
      <x:c r="K7" s="175" t="str"/>
      <x:c r="L7" s="175" t="str"/>
      <x:c r="M7" s="175" t="str"/>
    </x:row>
    <x:row r="8" ht="42" customHeight="1">
      <x:c r="A8" s="149" t="n">
        <x:v>3</x:v>
      </x:c>
      <x:c r="B8" s="149" t="n">
        <x:v>1</x:v>
      </x:c>
      <x:c r="C8" s="149" t="n">
        <x:v>3</x:v>
      </x:c>
      <x:c r="D8" s="149" t="str">
        <x:v>独立编码＋测试</x:v>
      </x:c>
      <x:c r="E8" s="149" t="str">
        <x:v>C++/Python独立编码、CMake与调试｜独立编码＋测试</x:v>
      </x:c>
      <x:c r="F8" s="164" t="n">
        <x:v>8</x:v>
      </x:c>
      <x:c r="G8" s="174"/>
      <x:c r="H8" s="175" t="str">
        <x:v>未开始</x:v>
      </x:c>
      <x:c r="I8" s="175" t="str"/>
      <x:c r="J8" s="176"/>
      <x:c r="K8" s="175" t="str"/>
      <x:c r="L8" s="175" t="str"/>
      <x:c r="M8" s="175" t="str"/>
    </x:row>
    <x:row r="9" ht="42" customHeight="1">
      <x:c r="A9" s="149" t="n">
        <x:v>4</x:v>
      </x:c>
      <x:c r="B9" s="149" t="n">
        <x:v>1</x:v>
      </x:c>
      <x:c r="C9" s="149" t="n">
        <x:v>4</x:v>
      </x:c>
      <x:c r="D9" s="149" t="str">
        <x:v>项目推进</x:v>
      </x:c>
      <x:c r="E9" s="149" t="str">
        <x:v>C++/Python独立编码、CMake与调试｜项目推进</x:v>
      </x:c>
      <x:c r="F9" s="164" t="n">
        <x:v>8</x:v>
      </x:c>
      <x:c r="G9" s="174"/>
      <x:c r="H9" s="175" t="str">
        <x:v>未开始</x:v>
      </x:c>
      <x:c r="I9" s="175" t="str"/>
      <x:c r="J9" s="176"/>
      <x:c r="K9" s="175" t="str"/>
      <x:c r="L9" s="175" t="str"/>
      <x:c r="M9" s="175" t="str"/>
    </x:row>
    <x:row r="10" ht="42" customHeight="1">
      <x:c r="A10" s="149" t="n">
        <x:v>5</x:v>
      </x:c>
      <x:c r="B10" s="149" t="n">
        <x:v>1</x:v>
      </x:c>
      <x:c r="C10" s="149" t="n">
        <x:v>5</x:v>
      </x:c>
      <x:c r="D10" s="149" t="str">
        <x:v>项目推进＋实验</x:v>
      </x:c>
      <x:c r="E10" s="149" t="str">
        <x:v>C++/Python独立编码、CMake与调试｜项目推进＋实验</x:v>
      </x:c>
      <x:c r="F10" s="164" t="n">
        <x:v>8</x:v>
      </x:c>
      <x:c r="G10" s="174"/>
      <x:c r="H10" s="175" t="str">
        <x:v>未开始</x:v>
      </x:c>
      <x:c r="I10" s="175" t="str"/>
      <x:c r="J10" s="176"/>
      <x:c r="K10" s="175" t="str"/>
      <x:c r="L10" s="175" t="str"/>
      <x:c r="M10" s="175" t="str"/>
    </x:row>
    <x:row r="11" ht="42" customHeight="1">
      <x:c r="A11" s="149" t="n">
        <x:v>6</x:v>
      </x:c>
      <x:c r="B11" s="149" t="n">
        <x:v>1</x:v>
      </x:c>
      <x:c r="C11" s="149" t="n">
        <x:v>6</x:v>
      </x:c>
      <x:c r="D11" s="149" t="str">
        <x:v>集成＋文档</x:v>
      </x:c>
      <x:c r="E11" s="149" t="str">
        <x:v>C++/Python独立编码、CMake与调试｜集成＋文档</x:v>
      </x:c>
      <x:c r="F11" s="164" t="n">
        <x:v>8</x:v>
      </x:c>
      <x:c r="G11" s="174"/>
      <x:c r="H11" s="175" t="str">
        <x:v>未开始</x:v>
      </x:c>
      <x:c r="I11" s="175" t="str"/>
      <x:c r="J11" s="176"/>
      <x:c r="K11" s="175" t="str"/>
      <x:c r="L11" s="175" t="str"/>
      <x:c r="M11" s="175" t="str"/>
    </x:row>
    <x:row r="12" ht="42" customHeight="1">
      <x:c r="A12" s="149" t="n">
        <x:v>7</x:v>
      </x:c>
      <x:c r="B12" s="149" t="n">
        <x:v>1</x:v>
      </x:c>
      <x:c r="C12" s="149" t="n">
        <x:v>7</x:v>
      </x:c>
      <x:c r="D12" s="149" t="str">
        <x:v>周测＋复盘</x:v>
      </x:c>
      <x:c r="E12" s="149" t="str">
        <x:v>C++/Python独立编码、CMake与调试｜周测＋复盘</x:v>
      </x:c>
      <x:c r="F12" s="164" t="n">
        <x:v>3</x:v>
      </x:c>
      <x:c r="G12" s="174"/>
      <x:c r="H12" s="175" t="str">
        <x:v>未开始</x:v>
      </x:c>
      <x:c r="I12" s="175" t="str"/>
      <x:c r="J12" s="176"/>
      <x:c r="K12" s="175" t="str"/>
      <x:c r="L12" s="175" t="str"/>
      <x:c r="M12" s="175" t="str"/>
    </x:row>
    <x:row r="13" ht="42" customHeight="1">
      <x:c r="A13" s="149" t="n">
        <x:v>8</x:v>
      </x:c>
      <x:c r="B13" s="149" t="n">
        <x:v>2</x:v>
      </x:c>
      <x:c r="C13" s="149" t="n">
        <x:v>1</x:v>
      </x:c>
      <x:c r="D13" s="149" t="str">
        <x:v>原理＋小实现</x:v>
      </x:c>
      <x:c r="E13" s="149" t="str">
        <x:v>神经网络原理、手写反向传播、PyTorch训练｜原理＋小实现</x:v>
      </x:c>
      <x:c r="F13" s="164" t="n">
        <x:v>8</x:v>
      </x:c>
      <x:c r="G13" s="174"/>
      <x:c r="H13" s="175" t="str">
        <x:v>未开始</x:v>
      </x:c>
      <x:c r="I13" s="175" t="str"/>
      <x:c r="J13" s="176"/>
      <x:c r="K13" s="175" t="str"/>
      <x:c r="L13" s="175" t="str"/>
      <x:c r="M13" s="175" t="str"/>
    </x:row>
    <x:row r="14" ht="42" customHeight="1">
      <x:c r="A14" s="149" t="n">
        <x:v>9</x:v>
      </x:c>
      <x:c r="B14" s="149" t="n">
        <x:v>2</x:v>
      </x:c>
      <x:c r="C14" s="149" t="n">
        <x:v>2</x:v>
      </x:c>
      <x:c r="D14" s="149" t="str">
        <x:v>独立编码</x:v>
      </x:c>
      <x:c r="E14" s="149" t="str">
        <x:v>神经网络原理、手写反向传播、PyTorch训练｜独立编码</x:v>
      </x:c>
      <x:c r="F14" s="164" t="n">
        <x:v>8</x:v>
      </x:c>
      <x:c r="G14" s="174"/>
      <x:c r="H14" s="175" t="str">
        <x:v>未开始</x:v>
      </x:c>
      <x:c r="I14" s="175" t="str"/>
      <x:c r="J14" s="176"/>
      <x:c r="K14" s="175" t="str"/>
      <x:c r="L14" s="175" t="str"/>
      <x:c r="M14" s="175" t="str"/>
    </x:row>
    <x:row r="15" ht="42" customHeight="1">
      <x:c r="A15" s="149" t="n">
        <x:v>10</x:v>
      </x:c>
      <x:c r="B15" s="149" t="n">
        <x:v>2</x:v>
      </x:c>
      <x:c r="C15" s="149" t="n">
        <x:v>3</x:v>
      </x:c>
      <x:c r="D15" s="149" t="str">
        <x:v>独立编码＋测试</x:v>
      </x:c>
      <x:c r="E15" s="149" t="str">
        <x:v>神经网络原理、手写反向传播、PyTorch训练｜独立编码＋测试</x:v>
      </x:c>
      <x:c r="F15" s="164" t="n">
        <x:v>8</x:v>
      </x:c>
      <x:c r="G15" s="174"/>
      <x:c r="H15" s="175" t="str">
        <x:v>未开始</x:v>
      </x:c>
      <x:c r="I15" s="175" t="str"/>
      <x:c r="J15" s="176"/>
      <x:c r="K15" s="175" t="str"/>
      <x:c r="L15" s="175" t="str"/>
      <x:c r="M15" s="175" t="str"/>
    </x:row>
    <x:row r="16" ht="42" customHeight="1">
      <x:c r="A16" s="149" t="n">
        <x:v>11</x:v>
      </x:c>
      <x:c r="B16" s="149" t="n">
        <x:v>2</x:v>
      </x:c>
      <x:c r="C16" s="149" t="n">
        <x:v>4</x:v>
      </x:c>
      <x:c r="D16" s="149" t="str">
        <x:v>项目推进</x:v>
      </x:c>
      <x:c r="E16" s="149" t="str">
        <x:v>神经网络原理、手写反向传播、PyTorch训练｜项目推进</x:v>
      </x:c>
      <x:c r="F16" s="164" t="n">
        <x:v>8</x:v>
      </x:c>
      <x:c r="G16" s="174"/>
      <x:c r="H16" s="175" t="str">
        <x:v>未开始</x:v>
      </x:c>
      <x:c r="I16" s="175" t="str"/>
      <x:c r="J16" s="176"/>
      <x:c r="K16" s="175" t="str"/>
      <x:c r="L16" s="175" t="str"/>
      <x:c r="M16" s="175" t="str"/>
    </x:row>
    <x:row r="17" ht="42" customHeight="1">
      <x:c r="A17" s="149" t="n">
        <x:v>12</x:v>
      </x:c>
      <x:c r="B17" s="149" t="n">
        <x:v>2</x:v>
      </x:c>
      <x:c r="C17" s="149" t="n">
        <x:v>5</x:v>
      </x:c>
      <x:c r="D17" s="149" t="str">
        <x:v>项目推进＋实验</x:v>
      </x:c>
      <x:c r="E17" s="149" t="str">
        <x:v>神经网络原理、手写反向传播、PyTorch训练｜项目推进＋实验</x:v>
      </x:c>
      <x:c r="F17" s="164" t="n">
        <x:v>8</x:v>
      </x:c>
      <x:c r="G17" s="174"/>
      <x:c r="H17" s="175" t="str">
        <x:v>未开始</x:v>
      </x:c>
      <x:c r="I17" s="175" t="str"/>
      <x:c r="J17" s="176"/>
      <x:c r="K17" s="175" t="str"/>
      <x:c r="L17" s="175" t="str"/>
      <x:c r="M17" s="175" t="str"/>
    </x:row>
    <x:row r="18" ht="42" customHeight="1">
      <x:c r="A18" s="149" t="n">
        <x:v>13</x:v>
      </x:c>
      <x:c r="B18" s="149" t="n">
        <x:v>2</x:v>
      </x:c>
      <x:c r="C18" s="149" t="n">
        <x:v>6</x:v>
      </x:c>
      <x:c r="D18" s="149" t="str">
        <x:v>集成＋文档</x:v>
      </x:c>
      <x:c r="E18" s="149" t="str">
        <x:v>神经网络原理、手写反向传播、PyTorch训练｜集成＋文档</x:v>
      </x:c>
      <x:c r="F18" s="164" t="n">
        <x:v>8</x:v>
      </x:c>
      <x:c r="G18" s="174"/>
      <x:c r="H18" s="175" t="str">
        <x:v>未开始</x:v>
      </x:c>
      <x:c r="I18" s="175" t="str"/>
      <x:c r="J18" s="176"/>
      <x:c r="K18" s="175" t="str"/>
      <x:c r="L18" s="175" t="str"/>
      <x:c r="M18" s="175" t="str"/>
    </x:row>
    <x:row r="19" ht="42" customHeight="1">
      <x:c r="A19" s="149" t="n">
        <x:v>14</x:v>
      </x:c>
      <x:c r="B19" s="149" t="n">
        <x:v>2</x:v>
      </x:c>
      <x:c r="C19" s="149" t="n">
        <x:v>7</x:v>
      </x:c>
      <x:c r="D19" s="149" t="str">
        <x:v>周测＋复盘</x:v>
      </x:c>
      <x:c r="E19" s="149" t="str">
        <x:v>神经网络原理、手写反向传播、PyTorch训练｜周测＋复盘</x:v>
      </x:c>
      <x:c r="F19" s="164" t="n">
        <x:v>3</x:v>
      </x:c>
      <x:c r="G19" s="174"/>
      <x:c r="H19" s="175" t="str">
        <x:v>未开始</x:v>
      </x:c>
      <x:c r="I19" s="175" t="str"/>
      <x:c r="J19" s="176"/>
      <x:c r="K19" s="175" t="str"/>
      <x:c r="L19" s="175" t="str"/>
      <x:c r="M19" s="175" t="str"/>
    </x:row>
    <x:row r="20" ht="42" customHeight="1">
      <x:c r="A20" s="149" t="n">
        <x:v>15</x:v>
      </x:c>
      <x:c r="B20" s="149" t="n">
        <x:v>3</x:v>
      </x:c>
      <x:c r="C20" s="149" t="n">
        <x:v>1</x:v>
      </x:c>
      <x:c r="D20" s="149" t="str">
        <x:v>原理＋小实现</x:v>
      </x:c>
      <x:c r="E20" s="149" t="str">
        <x:v>规范实验、指标、配置、复现与误差分析｜原理＋小实现</x:v>
      </x:c>
      <x:c r="F20" s="164" t="n">
        <x:v>8</x:v>
      </x:c>
      <x:c r="G20" s="174"/>
      <x:c r="H20" s="175" t="str">
        <x:v>未开始</x:v>
      </x:c>
      <x:c r="I20" s="175" t="str"/>
      <x:c r="J20" s="176"/>
      <x:c r="K20" s="175" t="str"/>
      <x:c r="L20" s="175" t="str"/>
      <x:c r="M20" s="175" t="str"/>
    </x:row>
    <x:row r="21" ht="42" customHeight="1">
      <x:c r="A21" s="149" t="n">
        <x:v>16</x:v>
      </x:c>
      <x:c r="B21" s="149" t="n">
        <x:v>3</x:v>
      </x:c>
      <x:c r="C21" s="149" t="n">
        <x:v>2</x:v>
      </x:c>
      <x:c r="D21" s="149" t="str">
        <x:v>独立编码</x:v>
      </x:c>
      <x:c r="E21" s="149" t="str">
        <x:v>规范实验、指标、配置、复现与误差分析｜独立编码</x:v>
      </x:c>
      <x:c r="F21" s="164" t="n">
        <x:v>8</x:v>
      </x:c>
      <x:c r="G21" s="174"/>
      <x:c r="H21" s="175" t="str">
        <x:v>未开始</x:v>
      </x:c>
      <x:c r="I21" s="175" t="str"/>
      <x:c r="J21" s="176"/>
      <x:c r="K21" s="175" t="str"/>
      <x:c r="L21" s="175" t="str"/>
      <x:c r="M21" s="175" t="str"/>
    </x:row>
    <x:row r="22" ht="42" customHeight="1">
      <x:c r="A22" s="149" t="n">
        <x:v>17</x:v>
      </x:c>
      <x:c r="B22" s="149" t="n">
        <x:v>3</x:v>
      </x:c>
      <x:c r="C22" s="149" t="n">
        <x:v>3</x:v>
      </x:c>
      <x:c r="D22" s="149" t="str">
        <x:v>独立编码＋测试</x:v>
      </x:c>
      <x:c r="E22" s="149" t="str">
        <x:v>规范实验、指标、配置、复现与误差分析｜独立编码＋测试</x:v>
      </x:c>
      <x:c r="F22" s="164" t="n">
        <x:v>8</x:v>
      </x:c>
      <x:c r="G22" s="174"/>
      <x:c r="H22" s="175" t="str">
        <x:v>未开始</x:v>
      </x:c>
      <x:c r="I22" s="175" t="str"/>
      <x:c r="J22" s="176"/>
      <x:c r="K22" s="175" t="str"/>
      <x:c r="L22" s="175" t="str"/>
      <x:c r="M22" s="175" t="str"/>
    </x:row>
    <x:row r="23" ht="42" customHeight="1">
      <x:c r="A23" s="149" t="n">
        <x:v>18</x:v>
      </x:c>
      <x:c r="B23" s="149" t="n">
        <x:v>3</x:v>
      </x:c>
      <x:c r="C23" s="149" t="n">
        <x:v>4</x:v>
      </x:c>
      <x:c r="D23" s="149" t="str">
        <x:v>项目推进</x:v>
      </x:c>
      <x:c r="E23" s="149" t="str">
        <x:v>规范实验、指标、配置、复现与误差分析｜项目推进</x:v>
      </x:c>
      <x:c r="F23" s="164" t="n">
        <x:v>8</x:v>
      </x:c>
      <x:c r="G23" s="174"/>
      <x:c r="H23" s="175" t="str">
        <x:v>未开始</x:v>
      </x:c>
      <x:c r="I23" s="175" t="str"/>
      <x:c r="J23" s="176"/>
      <x:c r="K23" s="175" t="str"/>
      <x:c r="L23" s="175" t="str"/>
      <x:c r="M23" s="175" t="str"/>
    </x:row>
    <x:row r="24" ht="42" customHeight="1">
      <x:c r="A24" s="149" t="n">
        <x:v>19</x:v>
      </x:c>
      <x:c r="B24" s="149" t="n">
        <x:v>3</x:v>
      </x:c>
      <x:c r="C24" s="149" t="n">
        <x:v>5</x:v>
      </x:c>
      <x:c r="D24" s="149" t="str">
        <x:v>项目推进＋实验</x:v>
      </x:c>
      <x:c r="E24" s="149" t="str">
        <x:v>规范实验、指标、配置、复现与误差分析｜项目推进＋实验</x:v>
      </x:c>
      <x:c r="F24" s="164" t="n">
        <x:v>8</x:v>
      </x:c>
      <x:c r="G24" s="174"/>
      <x:c r="H24" s="175" t="str">
        <x:v>未开始</x:v>
      </x:c>
      <x:c r="I24" s="175" t="str"/>
      <x:c r="J24" s="176"/>
      <x:c r="K24" s="175" t="str"/>
      <x:c r="L24" s="175" t="str"/>
      <x:c r="M24" s="175" t="str"/>
    </x:row>
    <x:row r="25" ht="42" customHeight="1">
      <x:c r="A25" s="149" t="n">
        <x:v>20</x:v>
      </x:c>
      <x:c r="B25" s="149" t="n">
        <x:v>3</x:v>
      </x:c>
      <x:c r="C25" s="149" t="n">
        <x:v>6</x:v>
      </x:c>
      <x:c r="D25" s="149" t="str">
        <x:v>集成＋文档</x:v>
      </x:c>
      <x:c r="E25" s="149" t="str">
        <x:v>规范实验、指标、配置、复现与误差分析｜集成＋文档</x:v>
      </x:c>
      <x:c r="F25" s="164" t="n">
        <x:v>8</x:v>
      </x:c>
      <x:c r="G25" s="174"/>
      <x:c r="H25" s="175" t="str">
        <x:v>未开始</x:v>
      </x:c>
      <x:c r="I25" s="175" t="str"/>
      <x:c r="J25" s="176"/>
      <x:c r="K25" s="175" t="str"/>
      <x:c r="L25" s="175" t="str"/>
      <x:c r="M25" s="175" t="str"/>
    </x:row>
    <x:row r="26" ht="42" customHeight="1">
      <x:c r="A26" s="149" t="n">
        <x:v>21</x:v>
      </x:c>
      <x:c r="B26" s="149" t="n">
        <x:v>3</x:v>
      </x:c>
      <x:c r="C26" s="149" t="n">
        <x:v>7</x:v>
      </x:c>
      <x:c r="D26" s="149" t="str">
        <x:v>周测＋复盘</x:v>
      </x:c>
      <x:c r="E26" s="149" t="str">
        <x:v>规范实验、指标、配置、复现与误差分析｜周测＋复盘</x:v>
      </x:c>
      <x:c r="F26" s="164" t="n">
        <x:v>3</x:v>
      </x:c>
      <x:c r="G26" s="174"/>
      <x:c r="H26" s="175" t="str">
        <x:v>未开始</x:v>
      </x:c>
      <x:c r="I26" s="175" t="str"/>
      <x:c r="J26" s="176"/>
      <x:c r="K26" s="175" t="str"/>
      <x:c r="L26" s="175" t="str"/>
      <x:c r="M26" s="175" t="str"/>
    </x:row>
    <x:row r="27" ht="42" customHeight="1">
      <x:c r="A27" s="149" t="n">
        <x:v>22</x:v>
      </x:c>
      <x:c r="B27" s="149" t="n">
        <x:v>4</x:v>
      </x:c>
      <x:c r="C27" s="149" t="n">
        <x:v>1</x:v>
      </x:c>
      <x:c r="D27" s="149" t="str">
        <x:v>原理＋小实现</x:v>
      </x:c>
      <x:c r="E27" s="149" t="str">
        <x:v>PyTorch→ONNX→C++推理与一致性｜原理＋小实现</x:v>
      </x:c>
      <x:c r="F27" s="164" t="n">
        <x:v>8</x:v>
      </x:c>
      <x:c r="G27" s="174"/>
      <x:c r="H27" s="175" t="str">
        <x:v>未开始</x:v>
      </x:c>
      <x:c r="I27" s="175" t="str"/>
      <x:c r="J27" s="176"/>
      <x:c r="K27" s="175" t="str"/>
      <x:c r="L27" s="175" t="str"/>
      <x:c r="M27" s="175" t="str"/>
    </x:row>
    <x:row r="28" ht="42" customHeight="1">
      <x:c r="A28" s="149" t="n">
        <x:v>23</x:v>
      </x:c>
      <x:c r="B28" s="149" t="n">
        <x:v>4</x:v>
      </x:c>
      <x:c r="C28" s="149" t="n">
        <x:v>2</x:v>
      </x:c>
      <x:c r="D28" s="149" t="str">
        <x:v>独立编码</x:v>
      </x:c>
      <x:c r="E28" s="149" t="str">
        <x:v>PyTorch→ONNX→C++推理与一致性｜独立编码</x:v>
      </x:c>
      <x:c r="F28" s="164" t="n">
        <x:v>8</x:v>
      </x:c>
      <x:c r="G28" s="174"/>
      <x:c r="H28" s="175" t="str">
        <x:v>未开始</x:v>
      </x:c>
      <x:c r="I28" s="175" t="str"/>
      <x:c r="J28" s="176"/>
      <x:c r="K28" s="175" t="str"/>
      <x:c r="L28" s="175" t="str"/>
      <x:c r="M28" s="175" t="str"/>
    </x:row>
    <x:row r="29" ht="42" customHeight="1">
      <x:c r="A29" s="149" t="n">
        <x:v>24</x:v>
      </x:c>
      <x:c r="B29" s="149" t="n">
        <x:v>4</x:v>
      </x:c>
      <x:c r="C29" s="149" t="n">
        <x:v>3</x:v>
      </x:c>
      <x:c r="D29" s="149" t="str">
        <x:v>独立编码＋测试</x:v>
      </x:c>
      <x:c r="E29" s="149" t="str">
        <x:v>PyTorch→ONNX→C++推理与一致性｜独立编码＋测试</x:v>
      </x:c>
      <x:c r="F29" s="164" t="n">
        <x:v>8</x:v>
      </x:c>
      <x:c r="G29" s="174"/>
      <x:c r="H29" s="175" t="str">
        <x:v>未开始</x:v>
      </x:c>
      <x:c r="I29" s="175" t="str"/>
      <x:c r="J29" s="176"/>
      <x:c r="K29" s="175" t="str"/>
      <x:c r="L29" s="175" t="str"/>
      <x:c r="M29" s="175" t="str"/>
    </x:row>
    <x:row r="30" ht="42" customHeight="1">
      <x:c r="A30" s="149" t="n">
        <x:v>25</x:v>
      </x:c>
      <x:c r="B30" s="149" t="n">
        <x:v>4</x:v>
      </x:c>
      <x:c r="C30" s="149" t="n">
        <x:v>4</x:v>
      </x:c>
      <x:c r="D30" s="149" t="str">
        <x:v>项目推进</x:v>
      </x:c>
      <x:c r="E30" s="149" t="str">
        <x:v>PyTorch→ONNX→C++推理与一致性｜项目推进</x:v>
      </x:c>
      <x:c r="F30" s="164" t="n">
        <x:v>8</x:v>
      </x:c>
      <x:c r="G30" s="174"/>
      <x:c r="H30" s="175" t="str">
        <x:v>未开始</x:v>
      </x:c>
      <x:c r="I30" s="175" t="str"/>
      <x:c r="J30" s="176"/>
      <x:c r="K30" s="175" t="str"/>
      <x:c r="L30" s="175" t="str"/>
      <x:c r="M30" s="175" t="str"/>
    </x:row>
    <x:row r="31" ht="42" customHeight="1">
      <x:c r="A31" s="149" t="n">
        <x:v>26</x:v>
      </x:c>
      <x:c r="B31" s="149" t="n">
        <x:v>4</x:v>
      </x:c>
      <x:c r="C31" s="149" t="n">
        <x:v>5</x:v>
      </x:c>
      <x:c r="D31" s="149" t="str">
        <x:v>项目推进＋实验</x:v>
      </x:c>
      <x:c r="E31" s="149" t="str">
        <x:v>PyTorch→ONNX→C++推理与一致性｜项目推进＋实验</x:v>
      </x:c>
      <x:c r="F31" s="164" t="n">
        <x:v>8</x:v>
      </x:c>
      <x:c r="G31" s="174"/>
      <x:c r="H31" s="175" t="str">
        <x:v>未开始</x:v>
      </x:c>
      <x:c r="I31" s="175" t="str"/>
      <x:c r="J31" s="176"/>
      <x:c r="K31" s="175" t="str"/>
      <x:c r="L31" s="175" t="str"/>
      <x:c r="M31" s="175" t="str"/>
    </x:row>
    <x:row r="32" ht="42" customHeight="1">
      <x:c r="A32" s="149" t="n">
        <x:v>27</x:v>
      </x:c>
      <x:c r="B32" s="149" t="n">
        <x:v>4</x:v>
      </x:c>
      <x:c r="C32" s="149" t="n">
        <x:v>6</x:v>
      </x:c>
      <x:c r="D32" s="149" t="str">
        <x:v>集成＋文档</x:v>
      </x:c>
      <x:c r="E32" s="149" t="str">
        <x:v>PyTorch→ONNX→C++推理与一致性｜集成＋文档</x:v>
      </x:c>
      <x:c r="F32" s="164" t="n">
        <x:v>8</x:v>
      </x:c>
      <x:c r="G32" s="174"/>
      <x:c r="H32" s="175" t="str">
        <x:v>未开始</x:v>
      </x:c>
      <x:c r="I32" s="175" t="str"/>
      <x:c r="J32" s="176"/>
      <x:c r="K32" s="175" t="str"/>
      <x:c r="L32" s="175" t="str"/>
      <x:c r="M32" s="175" t="str"/>
    </x:row>
    <x:row r="33" ht="42" customHeight="1">
      <x:c r="A33" s="149" t="n">
        <x:v>28</x:v>
      </x:c>
      <x:c r="B33" s="149" t="n">
        <x:v>4</x:v>
      </x:c>
      <x:c r="C33" s="149" t="n">
        <x:v>7</x:v>
      </x:c>
      <x:c r="D33" s="149" t="str">
        <x:v>周测＋复盘</x:v>
      </x:c>
      <x:c r="E33" s="149" t="str">
        <x:v>PyTorch→ONNX→C++推理与一致性｜周测＋复盘</x:v>
      </x:c>
      <x:c r="F33" s="164" t="n">
        <x:v>3</x:v>
      </x:c>
      <x:c r="G33" s="174"/>
      <x:c r="H33" s="175" t="str">
        <x:v>未开始</x:v>
      </x:c>
      <x:c r="I33" s="175" t="str"/>
      <x:c r="J33" s="176"/>
      <x:c r="K33" s="175" t="str"/>
      <x:c r="L33" s="175" t="str"/>
      <x:c r="M33" s="175" t="str"/>
    </x:row>
    <x:row r="34" ht="42" customHeight="1">
      <x:c r="A34" s="149" t="n">
        <x:v>29</x:v>
      </x:c>
      <x:c r="B34" s="149" t="n">
        <x:v>5</x:v>
      </x:c>
      <x:c r="C34" s="149" t="n">
        <x:v>1</x:v>
      </x:c>
      <x:c r="D34" s="149" t="str">
        <x:v>原理＋小实现</x:v>
      </x:c>
      <x:c r="E34" s="149" t="str">
        <x:v>benchmark、profiling与有证据的优化｜原理＋小实现</x:v>
      </x:c>
      <x:c r="F34" s="164" t="n">
        <x:v>8</x:v>
      </x:c>
      <x:c r="G34" s="174"/>
      <x:c r="H34" s="175" t="str">
        <x:v>未开始</x:v>
      </x:c>
      <x:c r="I34" s="175" t="str"/>
      <x:c r="J34" s="176"/>
      <x:c r="K34" s="175" t="str"/>
      <x:c r="L34" s="175" t="str"/>
      <x:c r="M34" s="175" t="str"/>
    </x:row>
    <x:row r="35" ht="42" customHeight="1">
      <x:c r="A35" s="149" t="n">
        <x:v>30</x:v>
      </x:c>
      <x:c r="B35" s="149" t="n">
        <x:v>5</x:v>
      </x:c>
      <x:c r="C35" s="149" t="n">
        <x:v>2</x:v>
      </x:c>
      <x:c r="D35" s="149" t="str">
        <x:v>独立编码</x:v>
      </x:c>
      <x:c r="E35" s="149" t="str">
        <x:v>benchmark、profiling与有证据的优化｜独立编码</x:v>
      </x:c>
      <x:c r="F35" s="164" t="n">
        <x:v>8</x:v>
      </x:c>
      <x:c r="G35" s="174"/>
      <x:c r="H35" s="175" t="str">
        <x:v>未开始</x:v>
      </x:c>
      <x:c r="I35" s="175" t="str"/>
      <x:c r="J35" s="176"/>
      <x:c r="K35" s="175" t="str"/>
      <x:c r="L35" s="175" t="str"/>
      <x:c r="M35" s="175" t="str"/>
    </x:row>
    <x:row r="36" ht="42" customHeight="1">
      <x:c r="A36" s="149" t="n">
        <x:v>31</x:v>
      </x:c>
      <x:c r="B36" s="149" t="n">
        <x:v>5</x:v>
      </x:c>
      <x:c r="C36" s="149" t="n">
        <x:v>3</x:v>
      </x:c>
      <x:c r="D36" s="149" t="str">
        <x:v>独立编码＋测试</x:v>
      </x:c>
      <x:c r="E36" s="149" t="str">
        <x:v>benchmark、profiling与有证据的优化｜独立编码＋测试</x:v>
      </x:c>
      <x:c r="F36" s="164" t="n">
        <x:v>8</x:v>
      </x:c>
      <x:c r="G36" s="174"/>
      <x:c r="H36" s="175" t="str">
        <x:v>未开始</x:v>
      </x:c>
      <x:c r="I36" s="175" t="str"/>
      <x:c r="J36" s="176"/>
      <x:c r="K36" s="175" t="str"/>
      <x:c r="L36" s="175" t="str"/>
      <x:c r="M36" s="175" t="str"/>
    </x:row>
    <x:row r="37" ht="42" customHeight="1">
      <x:c r="A37" s="149" t="n">
        <x:v>32</x:v>
      </x:c>
      <x:c r="B37" s="149" t="n">
        <x:v>5</x:v>
      </x:c>
      <x:c r="C37" s="149" t="n">
        <x:v>4</x:v>
      </x:c>
      <x:c r="D37" s="149" t="str">
        <x:v>项目推进</x:v>
      </x:c>
      <x:c r="E37" s="149" t="str">
        <x:v>benchmark、profiling与有证据的优化｜项目推进</x:v>
      </x:c>
      <x:c r="F37" s="164" t="n">
        <x:v>8</x:v>
      </x:c>
      <x:c r="G37" s="174"/>
      <x:c r="H37" s="175" t="str">
        <x:v>未开始</x:v>
      </x:c>
      <x:c r="I37" s="175" t="str"/>
      <x:c r="J37" s="176"/>
      <x:c r="K37" s="175" t="str"/>
      <x:c r="L37" s="175" t="str"/>
      <x:c r="M37" s="175" t="str"/>
    </x:row>
    <x:row r="38" ht="42" customHeight="1">
      <x:c r="A38" s="149" t="n">
        <x:v>33</x:v>
      </x:c>
      <x:c r="B38" s="149" t="n">
        <x:v>5</x:v>
      </x:c>
      <x:c r="C38" s="149" t="n">
        <x:v>5</x:v>
      </x:c>
      <x:c r="D38" s="149" t="str">
        <x:v>项目推进＋实验</x:v>
      </x:c>
      <x:c r="E38" s="149" t="str">
        <x:v>benchmark、profiling与有证据的优化｜项目推进＋实验</x:v>
      </x:c>
      <x:c r="F38" s="164" t="n">
        <x:v>8</x:v>
      </x:c>
      <x:c r="G38" s="174"/>
      <x:c r="H38" s="175" t="str">
        <x:v>未开始</x:v>
      </x:c>
      <x:c r="I38" s="175" t="str"/>
      <x:c r="J38" s="176"/>
      <x:c r="K38" s="175" t="str"/>
      <x:c r="L38" s="175" t="str"/>
      <x:c r="M38" s="175" t="str"/>
    </x:row>
    <x:row r="39" ht="42" customHeight="1">
      <x:c r="A39" s="149" t="n">
        <x:v>34</x:v>
      </x:c>
      <x:c r="B39" s="149" t="n">
        <x:v>5</x:v>
      </x:c>
      <x:c r="C39" s="149" t="n">
        <x:v>6</x:v>
      </x:c>
      <x:c r="D39" s="149" t="str">
        <x:v>集成＋文档</x:v>
      </x:c>
      <x:c r="E39" s="149" t="str">
        <x:v>benchmark、profiling与有证据的优化｜集成＋文档</x:v>
      </x:c>
      <x:c r="F39" s="164" t="n">
        <x:v>8</x:v>
      </x:c>
      <x:c r="G39" s="174"/>
      <x:c r="H39" s="175" t="str">
        <x:v>未开始</x:v>
      </x:c>
      <x:c r="I39" s="175" t="str"/>
      <x:c r="J39" s="176"/>
      <x:c r="K39" s="175" t="str"/>
      <x:c r="L39" s="175" t="str"/>
      <x:c r="M39" s="175" t="str"/>
    </x:row>
    <x:row r="40" ht="42" customHeight="1">
      <x:c r="A40" s="149" t="n">
        <x:v>35</x:v>
      </x:c>
      <x:c r="B40" s="149" t="n">
        <x:v>5</x:v>
      </x:c>
      <x:c r="C40" s="149" t="n">
        <x:v>7</x:v>
      </x:c>
      <x:c r="D40" s="149" t="str">
        <x:v>周测＋复盘</x:v>
      </x:c>
      <x:c r="E40" s="149" t="str">
        <x:v>benchmark、profiling与有证据的优化｜周测＋复盘</x:v>
      </x:c>
      <x:c r="F40" s="164" t="n">
        <x:v>3</x:v>
      </x:c>
      <x:c r="G40" s="174"/>
      <x:c r="H40" s="175" t="str">
        <x:v>未开始</x:v>
      </x:c>
      <x:c r="I40" s="175" t="str"/>
      <x:c r="J40" s="176"/>
      <x:c r="K40" s="175" t="str"/>
      <x:c r="L40" s="175" t="str"/>
      <x:c r="M40" s="175" t="str"/>
    </x:row>
    <x:row r="41" ht="42" customHeight="1">
      <x:c r="A41" s="149" t="n">
        <x:v>36</x:v>
      </x:c>
      <x:c r="B41" s="149" t="n">
        <x:v>6</x:v>
      </x:c>
      <x:c r="C41" s="149" t="n">
        <x:v>1</x:v>
      </x:c>
      <x:c r="D41" s="149" t="str">
        <x:v>原理＋小实现</x:v>
      </x:c>
      <x:c r="E41" s="149" t="str">
        <x:v>重构、测试、文档、演示与最终答辩｜原理＋小实现</x:v>
      </x:c>
      <x:c r="F41" s="164" t="n">
        <x:v>8</x:v>
      </x:c>
      <x:c r="G41" s="174"/>
      <x:c r="H41" s="175" t="str">
        <x:v>未开始</x:v>
      </x:c>
      <x:c r="I41" s="175" t="str"/>
      <x:c r="J41" s="176"/>
      <x:c r="K41" s="175" t="str"/>
      <x:c r="L41" s="175" t="str"/>
      <x:c r="M41" s="175" t="str"/>
    </x:row>
    <x:row r="42" ht="42" customHeight="1">
      <x:c r="A42" s="149" t="n">
        <x:v>37</x:v>
      </x:c>
      <x:c r="B42" s="149" t="n">
        <x:v>6</x:v>
      </x:c>
      <x:c r="C42" s="149" t="n">
        <x:v>2</x:v>
      </x:c>
      <x:c r="D42" s="149" t="str">
        <x:v>独立编码</x:v>
      </x:c>
      <x:c r="E42" s="149" t="str">
        <x:v>重构、测试、文档、演示与最终答辩｜独立编码</x:v>
      </x:c>
      <x:c r="F42" s="164" t="n">
        <x:v>8</x:v>
      </x:c>
      <x:c r="G42" s="174"/>
      <x:c r="H42" s="175" t="str">
        <x:v>未开始</x:v>
      </x:c>
      <x:c r="I42" s="175" t="str"/>
      <x:c r="J42" s="176"/>
      <x:c r="K42" s="175" t="str"/>
      <x:c r="L42" s="175" t="str"/>
      <x:c r="M42" s="175" t="str"/>
    </x:row>
    <x:row r="43" ht="42" customHeight="1">
      <x:c r="A43" s="149" t="n">
        <x:v>38</x:v>
      </x:c>
      <x:c r="B43" s="149" t="n">
        <x:v>6</x:v>
      </x:c>
      <x:c r="C43" s="149" t="n">
        <x:v>3</x:v>
      </x:c>
      <x:c r="D43" s="149" t="str">
        <x:v>独立编码＋测试</x:v>
      </x:c>
      <x:c r="E43" s="149" t="str">
        <x:v>重构、测试、文档、演示与最终答辩｜独立编码＋测试</x:v>
      </x:c>
      <x:c r="F43" s="164" t="n">
        <x:v>8</x:v>
      </x:c>
      <x:c r="G43" s="174"/>
      <x:c r="H43" s="175" t="str">
        <x:v>未开始</x:v>
      </x:c>
      <x:c r="I43" s="175" t="str"/>
      <x:c r="J43" s="176"/>
      <x:c r="K43" s="175" t="str"/>
      <x:c r="L43" s="175" t="str"/>
      <x:c r="M43" s="175" t="str"/>
    </x:row>
    <x:row r="44" ht="42" customHeight="1">
      <x:c r="A44" s="149" t="n">
        <x:v>39</x:v>
      </x:c>
      <x:c r="B44" s="149" t="n">
        <x:v>6</x:v>
      </x:c>
      <x:c r="C44" s="149" t="n">
        <x:v>4</x:v>
      </x:c>
      <x:c r="D44" s="149" t="str">
        <x:v>项目推进</x:v>
      </x:c>
      <x:c r="E44" s="149" t="str">
        <x:v>重构、测试、文档、演示与最终答辩｜项目推进</x:v>
      </x:c>
      <x:c r="F44" s="164" t="n">
        <x:v>8</x:v>
      </x:c>
      <x:c r="G44" s="174"/>
      <x:c r="H44" s="175" t="str">
        <x:v>未开始</x:v>
      </x:c>
      <x:c r="I44" s="175" t="str"/>
      <x:c r="J44" s="176"/>
      <x:c r="K44" s="175" t="str"/>
      <x:c r="L44" s="175" t="str"/>
      <x:c r="M44" s="175" t="str"/>
    </x:row>
    <x:row r="45" ht="42" customHeight="1">
      <x:c r="A45" s="149" t="n">
        <x:v>40</x:v>
      </x:c>
      <x:c r="B45" s="149" t="n">
        <x:v>6</x:v>
      </x:c>
      <x:c r="C45" s="149" t="n">
        <x:v>5</x:v>
      </x:c>
      <x:c r="D45" s="149" t="str">
        <x:v>项目推进＋实验</x:v>
      </x:c>
      <x:c r="E45" s="149" t="str">
        <x:v>重构、测试、文档、演示与最终答辩｜项目推进＋实验</x:v>
      </x:c>
      <x:c r="F45" s="164" t="n">
        <x:v>8</x:v>
      </x:c>
      <x:c r="G45" s="174"/>
      <x:c r="H45" s="175" t="str">
        <x:v>未开始</x:v>
      </x:c>
      <x:c r="I45" s="175" t="str"/>
      <x:c r="J45" s="176"/>
      <x:c r="K45" s="175" t="str"/>
      <x:c r="L45" s="175" t="str"/>
      <x:c r="M45" s="175" t="str"/>
    </x:row>
    <x:row r="46" ht="42" customHeight="1">
      <x:c r="A46" s="149" t="n">
        <x:v>41</x:v>
      </x:c>
      <x:c r="B46" s="149" t="n">
        <x:v>6</x:v>
      </x:c>
      <x:c r="C46" s="149" t="n">
        <x:v>6</x:v>
      </x:c>
      <x:c r="D46" s="149" t="str">
        <x:v>集成＋文档</x:v>
      </x:c>
      <x:c r="E46" s="149" t="str">
        <x:v>重构、测试、文档、演示与最终答辩｜集成＋文档</x:v>
      </x:c>
      <x:c r="F46" s="164" t="n">
        <x:v>8</x:v>
      </x:c>
      <x:c r="G46" s="174"/>
      <x:c r="H46" s="175" t="str">
        <x:v>未开始</x:v>
      </x:c>
      <x:c r="I46" s="175" t="str"/>
      <x:c r="J46" s="176"/>
      <x:c r="K46" s="175" t="str"/>
      <x:c r="L46" s="175" t="str"/>
      <x:c r="M46" s="175" t="str"/>
    </x:row>
    <x:row r="47" ht="42" customHeight="1">
      <x:c r="A47" s="151" t="n">
        <x:v>42</x:v>
      </x:c>
      <x:c r="B47" s="151" t="n">
        <x:v>6</x:v>
      </x:c>
      <x:c r="C47" s="151" t="n">
        <x:v>7</x:v>
      </x:c>
      <x:c r="D47" s="151" t="str">
        <x:v>周测＋复盘</x:v>
      </x:c>
      <x:c r="E47" s="151" t="str">
        <x:v>重构、测试、文档、演示与最终答辩｜周测＋复盘</x:v>
      </x:c>
      <x:c r="F47" s="166" t="n">
        <x:v>3</x:v>
      </x:c>
      <x:c r="G47" s="177"/>
      <x:c r="H47" s="178" t="str">
        <x:v>未开始</x:v>
      </x:c>
      <x:c r="I47" s="178" t="str"/>
      <x:c r="J47" s="179"/>
      <x:c r="K47" s="178" t="str"/>
      <x:c r="L47" s="178" t="str"/>
      <x:c r="M47" s="178" t="str"/>
    </x:row>
  </x:sheetData>
  <x:mergeCells>
    <x:mergeCell ref="A1:M1"/>
    <x:mergeCell ref="A2:M3"/>
  </x:mergeCells>
  <x:conditionalFormatting sqref="H6:H47">
    <x:cfRule type="containsText" dxfId="2" priority="1" operator="containsText" text="已完成"/>
    <x:cfRule type="containsText" dxfId="3" priority="2" operator="containsText" text="阻塞"/>
  </x:conditionalFormatting>
  <x:dataValidations count="2">
    <x:dataValidation type="list" sqref="H6:H47">
      <x:formula1>"未开始,进行中,已完成,阻塞,调整"</x:formula1>
    </x:dataValidation>
    <x:dataValidation type="list" sqref="K6:K47">
      <x:formula1>"未使用,只要提示,解释/审查,生成局部代码,生成大量代码"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4" customHeight="1">
      <x:c r="A1" s="3" t="str">
        <x:v>每周短测与动态调整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周测只检查本周最关键能力，控制在45–90分钟。分数不是为了排名，而是决定下周哪些内容跳过、保留或加练。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</x:row>
    <x:row r="5" ht="28" customHeight="1">
      <x:c r="A5" s="18" t="str">
        <x:v>周次</x:v>
      </x:c>
      <x:c r="B5" s="19" t="str">
        <x:v>周测题</x:v>
      </x:c>
      <x:c r="C5" s="19" t="str">
        <x:v>限时</x:v>
      </x:c>
      <x:c r="D5" s="19" t="str">
        <x:v>得分(0–5)</x:v>
      </x:c>
      <x:c r="E5" s="19" t="str">
        <x:v>独立性(0–5)</x:v>
      </x:c>
      <x:c r="F5" s="19" t="str">
        <x:v>完成度</x:v>
      </x:c>
      <x:c r="G5" s="19" t="str">
        <x:v>证据位置</x:v>
      </x:c>
      <x:c r="H5" s="19" t="str">
        <x:v>最大进步</x:v>
      </x:c>
      <x:c r="I5" s="19" t="str">
        <x:v>最大缺口</x:v>
      </x:c>
      <x:c r="J5" s="19" t="str">
        <x:v>下周删减</x:v>
      </x:c>
      <x:c r="K5" s="19" t="str">
        <x:v>下周加练</x:v>
      </x:c>
      <x:c r="L5" s="20" t="str">
        <x:v>Codex评语</x:v>
      </x:c>
    </x:row>
    <x:row r="6" ht="78" customHeight="1">
      <x:c r="A6" s="147" t="n">
        <x:v>1</x:v>
      </x:c>
      <x:c r="B6" s="147" t="str">
        <x:v>从空文件完成一个C++数据处理小程序，包含函数拆分、边界测试；再用gdb定位一个预设错误</x:v>
      </x:c>
      <x:c r="C6" s="180" t="n">
        <x:v>60</x:v>
      </x:c>
      <x:c r="D6" s="147"/>
      <x:c r="E6" s="147"/>
      <x:c r="F6" s="147"/>
      <x:c r="G6" s="147" t="str"/>
      <x:c r="H6" s="147" t="str"/>
      <x:c r="I6" s="147" t="str"/>
      <x:c r="J6" s="147" t="str"/>
      <x:c r="K6" s="147" t="str"/>
      <x:c r="L6" s="147" t="str"/>
    </x:row>
    <x:row r="7" ht="78" customHeight="1">
      <x:c r="A7" s="149" t="n">
        <x:v>2</x:v>
      </x:c>
      <x:c r="B7" s="149" t="str">
        <x:v>不看旧代码搭建PyTorch训练/验证骨架，并解释反向传播、train/eval和过拟合诊断</x:v>
      </x:c>
      <x:c r="C7" s="181" t="n">
        <x:v>60</x:v>
      </x:c>
      <x:c r="D7" s="149"/>
      <x:c r="E7" s="149"/>
      <x:c r="F7" s="149"/>
      <x:c r="G7" s="149" t="str"/>
      <x:c r="H7" s="149" t="str"/>
      <x:c r="I7" s="149" t="str"/>
      <x:c r="J7" s="149" t="str"/>
      <x:c r="K7" s="149" t="str"/>
      <x:c r="L7" s="149" t="str"/>
    </x:row>
    <x:row r="8" ht="78" customHeight="1">
      <x:c r="A8" s="149" t="n">
        <x:v>3</x:v>
      </x:c>
      <x:c r="B8" s="149" t="str">
        <x:v>给出一组训练曲线和指标，写出定位假设、控制变量实验和结论边界</x:v>
      </x:c>
      <x:c r="C8" s="181" t="n">
        <x:v>50</x:v>
      </x:c>
      <x:c r="D8" s="149"/>
      <x:c r="E8" s="149"/>
      <x:c r="F8" s="149"/>
      <x:c r="G8" s="149" t="str"/>
      <x:c r="H8" s="149" t="str"/>
      <x:c r="I8" s="149" t="str"/>
      <x:c r="J8" s="149" t="str"/>
      <x:c r="K8" s="149" t="str"/>
      <x:c r="L8" s="149" t="str"/>
    </x:row>
    <x:row r="9" ht="78" customHeight="1">
      <x:c r="A9" s="149" t="n">
        <x:v>4</x:v>
      </x:c>
      <x:c r="B9" s="149" t="str">
        <x:v>补全并调通一个ONNX/C++推理模块，检查与Python输出的一致性</x:v>
      </x:c>
      <x:c r="C9" s="181" t="n">
        <x:v>75</x:v>
      </x:c>
      <x:c r="D9" s="149"/>
      <x:c r="E9" s="149"/>
      <x:c r="F9" s="149"/>
      <x:c r="G9" s="149" t="str"/>
      <x:c r="H9" s="149" t="str"/>
      <x:c r="I9" s="149" t="str"/>
      <x:c r="J9" s="149" t="str"/>
      <x:c r="K9" s="149" t="str"/>
      <x:c r="L9" s="149" t="str"/>
    </x:row>
    <x:row r="10" ht="78" customHeight="1">
      <x:c r="A10" s="149" t="n">
        <x:v>5</x:v>
      </x:c>
      <x:c r="B10" s="149" t="str">
        <x:v>面对一个低FPS程序，先设计benchmark，再根据profile证据提出两项优化</x:v>
      </x:c>
      <x:c r="C10" s="181" t="n">
        <x:v>60</x:v>
      </x:c>
      <x:c r="D10" s="149"/>
      <x:c r="E10" s="149"/>
      <x:c r="F10" s="149"/>
      <x:c r="G10" s="149" t="str"/>
      <x:c r="H10" s="149" t="str"/>
      <x:c r="I10" s="149" t="str"/>
      <x:c r="J10" s="149" t="str"/>
      <x:c r="K10" s="149" t="str"/>
      <x:c r="L10" s="149" t="str"/>
    </x:row>
    <x:row r="11" ht="78" customHeight="1">
      <x:c r="A11" s="151" t="n">
        <x:v>6</x:v>
      </x:c>
      <x:c r="B11" s="151" t="str">
        <x:v>30分钟技术答辩＋60分钟现场需求变更：解释、修改、测试并记录</x:v>
      </x:c>
      <x:c r="C11" s="182" t="n">
        <x:v>90</x:v>
      </x:c>
      <x:c r="D11" s="151"/>
      <x:c r="E11" s="151"/>
      <x:c r="F11" s="151"/>
      <x:c r="G11" s="151" t="str"/>
      <x:c r="H11" s="151" t="str"/>
      <x:c r="I11" s="151" t="str"/>
      <x:c r="J11" s="151" t="str"/>
      <x:c r="K11" s="151" t="str"/>
      <x:c r="L11" s="151" t="str"/>
    </x:row>
    <x:row r="12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</x:row>
    <x:row r="13">
      <x:c r="A13" s="68" t="str">
        <x:v>调整规则</x:v>
      </x:c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</x:row>
    <x:row r="14" ht="44" customHeight="1">
      <x:c r="A14" s="91" t="str">
        <x:v>条件</x:v>
      </x:c>
      <x:c r="B14" s="92" t="str">
        <x:v>动作</x:v>
      </x:c>
      <x:c r="C14" s="93" t="str">
        <x:v>禁止做法</x:v>
      </x:c>
      <x:c r="D14" s="76" t="str"/>
      <x:c r="E14" s="76" t="str"/>
      <x:c r="F14" s="76" t="str"/>
      <x:c r="G14" s="76" t="str"/>
      <x:c r="H14" s="76" t="str"/>
      <x:c r="I14" s="76" t="str"/>
      <x:c r="J14" s="76" t="str"/>
      <x:c r="K14" s="76" t="str"/>
      <x:c r="L14" s="76" t="str"/>
    </x:row>
    <x:row r="15" ht="44" customHeight="1">
      <x:c r="A15" s="85" t="str">
        <x:v>得分≥4且独立性≥4</x:v>
      </x:c>
      <x:c r="B15" s="86" t="str">
        <x:v>下周减少该知识点讲解，直接进入更复杂实现或项目任务</x:v>
      </x:c>
      <x:c r="C15" s="87" t="str">
        <x:v>为了完成课程而重复学习</x:v>
      </x:c>
      <x:c r="D15" s="76" t="str"/>
      <x:c r="E15" s="76" t="str"/>
      <x:c r="F15" s="76" t="str"/>
      <x:c r="G15" s="76" t="str"/>
      <x:c r="H15" s="76" t="str"/>
      <x:c r="I15" s="76" t="str"/>
      <x:c r="J15" s="76" t="str"/>
      <x:c r="K15" s="76" t="str"/>
      <x:c r="L15" s="76" t="str"/>
    </x:row>
    <x:row r="16" ht="44" customHeight="1">
      <x:c r="A16" s="85" t="str">
        <x:v>得分2–3</x:v>
      </x:c>
      <x:c r="B16" s="86" t="str">
        <x:v>保留主线，针对错误补1–2个小练习，三天后复测</x:v>
      </x:c>
      <x:c r="C16" s="87" t="str">
        <x:v>从头重看整门课</x:v>
      </x:c>
      <x:c r="D16" s="76" t="str"/>
      <x:c r="E16" s="76" t="str"/>
      <x:c r="F16" s="76" t="str"/>
      <x:c r="G16" s="76" t="str"/>
      <x:c r="H16" s="76" t="str"/>
      <x:c r="I16" s="76" t="str"/>
      <x:c r="J16" s="76" t="str"/>
      <x:c r="K16" s="76" t="str"/>
      <x:c r="L16" s="76" t="str"/>
    </x:row>
    <x:row r="17" ht="44" customHeight="1">
      <x:c r="A17" s="88" t="str">
        <x:v>得分&lt;2或独立性&lt;2</x:v>
      </x:c>
      <x:c r="B17" s="89" t="str">
        <x:v>暂停新增工具，拆小任务；增加无AI编码和调试训练</x:v>
      </x:c>
      <x:c r="C17" s="90" t="str">
        <x:v>用AI生成完整答案掩盖缺口</x:v>
      </x:c>
      <x:c r="D17" s="76" t="str"/>
      <x:c r="E17" s="76" t="str"/>
      <x:c r="F17" s="76" t="str"/>
      <x:c r="G17" s="76" t="str"/>
      <x:c r="H17" s="76" t="str"/>
      <x:c r="I17" s="76" t="str"/>
      <x:c r="J17" s="76" t="str"/>
      <x:c r="K17" s="76" t="str"/>
      <x:c r="L17" s="76" t="str"/>
    </x:row>
  </x:sheetData>
  <x:mergeCells>
    <x:mergeCell ref="A1:L1"/>
    <x:mergeCell ref="A2:L3"/>
    <x:mergeCell ref="A13:L13"/>
  </x:mergeCells>
  <x:conditionalFormatting sqref="D6:E11">
    <x:cfRule type="colorScale" priority="1">
      <x:colorScale>
        <x:cfvo type="min"/>
        <x:cfvo type="percentile" val="50"/>
        <x:cfvo type="max"/>
        <x:color rgb="FFFEF2F2"/>
        <x:color rgb="FFFFF7E6"/>
        <x:color rgb="FFECFDF3"/>
      </x:colorScale>
    </x:cfRule>
  </x:conditionalFormatting>
  <x:dataValidations count="2">
    <x:dataValidation type="whole" operator="between" sqref="D6:E11">
      <x:formula1>0</x:formula1>
      <x:formula2>5</x:formula2>
    </x:dataValidation>
    <x:dataValidation type="list" sqref="F6:F11">
      <x:formula1>"未测,未通过,部分通过,通过,超预期"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40" hidden="0" customWidth="1"/>
    <x:col min="4" max="4" width="42" hidden="0" customWidth="1"/>
    <x:col min="5" max="5" width="13" hidden="0" customWidth="1"/>
    <x:col min="6" max="6" width="36" hidden="0" customWidth="1"/>
    <x:col min="7" max="7" width="26" hidden="0" customWidth="1"/>
    <x:col min="8" max="8" width="30" hidden="0" customWidth="1"/>
  </x:cols>
  <x:sheetData>
    <x:row r="1" ht="34" customHeight="1">
      <x:c r="A1" s="3" t="str">
        <x:v>战略决策与变更日志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用于防止后续讨论漂移。改变主线、购买设备、增加新技术或调整目标时，先写明证据、代价和重新评估条件。</x:v>
      </x:c>
      <x:c r="B2" s="7"/>
      <x:c r="C2" s="7"/>
      <x:c r="D2" s="7"/>
      <x:c r="E2" s="7"/>
      <x:c r="F2" s="7"/>
      <x:c r="G2" s="7"/>
      <x:c r="H2" s="7"/>
    </x:row>
    <x:row r="3" ht="28" customHeight="1">
      <x:c r="A3" s="7"/>
      <x:c r="B3" s="7"/>
      <x:c r="C3" s="7"/>
      <x:c r="D3" s="7"/>
      <x:c r="E3" s="7"/>
      <x:c r="F3" s="7"/>
      <x:c r="G3" s="7"/>
      <x:c r="H3" s="7"/>
    </x:row>
    <x:row r="4">
      <x:c r="A4" s="76"/>
      <x:c r="B4" s="76"/>
      <x:c r="C4" s="76"/>
      <x:c r="D4" s="76"/>
      <x:c r="E4" s="76"/>
      <x:c r="F4" s="76"/>
      <x:c r="G4" s="76"/>
      <x:c r="H4" s="76"/>
    </x:row>
    <x:row r="5" ht="28" customHeight="1">
      <x:c r="A5" s="18" t="str">
        <x:v>日期</x:v>
      </x:c>
      <x:c r="B5" s="19" t="str">
        <x:v>类别</x:v>
      </x:c>
      <x:c r="C5" s="19" t="str">
        <x:v>决定</x:v>
      </x:c>
      <x:c r="D5" s="19" t="str">
        <x:v>依据</x:v>
      </x:c>
      <x:c r="E5" s="19" t="str">
        <x:v>当前有效</x:v>
      </x:c>
      <x:c r="F5" s="19" t="str">
        <x:v>重新评估条件</x:v>
      </x:c>
      <x:c r="G5" s="19" t="str">
        <x:v>影响范围</x:v>
      </x:c>
      <x:c r="H5" s="20" t="str">
        <x:v>后续更新</x:v>
      </x:c>
    </x:row>
    <x:row r="6" ht="62" customHeight="1">
      <x:c r="A6" s="183" t="n">
        <x:v>46231</x:v>
      </x:c>
      <x:c r="B6" s="147" t="str">
        <x:v>六周目标</x:v>
      </x:c>
      <x:c r="C6" s="147" t="str">
        <x:v>不做方向试吃；集中提升跨方向共同硬能力</x:v>
      </x:c>
      <x:c r="D6" s="147" t="str">
        <x:v>用户希望每天8–10小时投入，要求明确且有意义</x:v>
      </x:c>
      <x:c r="E6" s="147" t="str">
        <x:v>是</x:v>
      </x:c>
      <x:c r="F6" s="147" t="str">
        <x:v>六周完成或现实约束改变</x:v>
      </x:c>
      <x:c r="G6" s="147" t="str">
        <x:v>全部计划</x:v>
      </x:c>
      <x:c r="H6" s="147" t="str"/>
    </x:row>
    <x:row r="7" ht="62" customHeight="1">
      <x:c r="A7" s="184" t="n">
        <x:v>46231</x:v>
      </x:c>
      <x:c r="B7" s="149" t="str">
        <x:v>方向边界</x:v>
      </x:c>
      <x:c r="C7" s="149" t="str">
        <x:v>不因YOLO、机器人或量化例子锁定职业方向</x:v>
      </x:c>
      <x:c r="D7" s="149" t="str">
        <x:v>用户仍处于迷茫期，量化只是举例</x:v>
      </x:c>
      <x:c r="E7" s="149" t="str">
        <x:v>是</x:v>
      </x:c>
      <x:c r="F7" s="149" t="str">
        <x:v>出现持续成果、兴趣和岗位证据</x:v>
      </x:c>
      <x:c r="G7" s="149" t="str">
        <x:v>项目解释与后续选型</x:v>
      </x:c>
      <x:c r="H7" s="149" t="str"/>
    </x:row>
    <x:row r="8" ht="62" customHeight="1">
      <x:c r="A8" s="184" t="n">
        <x:v>46231</x:v>
      </x:c>
      <x:c r="B8" s="149" t="str">
        <x:v>代码基线</x:v>
      </x:c>
      <x:c r="C8" s="149" t="str">
        <x:v>多数内容学过但不能独立做，不按零基础重新上课</x:v>
      </x:c>
      <x:c r="D8" s="149" t="str">
        <x:v>用户明确反馈；过往代码大量依赖AI</x:v>
      </x:c>
      <x:c r="E8" s="149" t="str">
        <x:v>是</x:v>
      </x:c>
      <x:c r="F8" s="149" t="str">
        <x:v>快速基线和周测达到独立性4/5</x:v>
      </x:c>
      <x:c r="G8" s="149" t="str">
        <x:v>学习方式与验收</x:v>
      </x:c>
      <x:c r="H8" s="149" t="str"/>
    </x:row>
    <x:row r="9" ht="62" customHeight="1">
      <x:c r="A9" s="184" t="n">
        <x:v>46231</x:v>
      </x:c>
      <x:c r="B9" s="149" t="str">
        <x:v>硬件</x:v>
      </x:c>
      <x:c r="C9" s="149" t="str">
        <x:v>暂不购买D415/D435、IMU或边缘板</x:v>
      </x:c>
      <x:c r="D9" s="149" t="str">
        <x:v>现有电脑和摄像头足够；当前无不可替代三维任务</x:v>
      </x:c>
      <x:c r="E9" s="149" t="str">
        <x:v>是</x:v>
      </x:c>
      <x:c r="F9" s="149" t="str">
        <x:v>项目明确需要逐像素深度、点云、手眼或SLAM</x:v>
      </x:c>
      <x:c r="G9" s="149" t="str">
        <x:v>预算与项目范围</x:v>
      </x:c>
      <x:c r="H9" s="149" t="str"/>
    </x:row>
    <x:row r="10" ht="62" customHeight="1">
      <x:c r="A10" s="184" t="n">
        <x:v>46231</x:v>
      </x:c>
      <x:c r="B10" s="149" t="str">
        <x:v>项目载体</x:v>
      </x:c>
      <x:c r="C10" s="149" t="str">
        <x:v>允许用熟悉的视觉模型作为工程载体，但能力目标是通用的</x:v>
      </x:c>
      <x:c r="D10" s="149" t="str">
        <x:v>可以减少题目理解成本，把时间用于编程、实验和系统深度</x:v>
      </x:c>
      <x:c r="E10" s="149" t="str">
        <x:v>是</x:v>
      </x:c>
      <x:c r="F10" s="149" t="str">
        <x:v>载体本身阻碍共同能力提升</x:v>
      </x:c>
      <x:c r="G10" s="149" t="str">
        <x:v>六周项目</x:v>
      </x:c>
      <x:c r="H10" s="149" t="str"/>
    </x:row>
    <x:row r="11" ht="62" customHeight="1">
      <x:c r="A11" s="185" t="n">
        <x:v>46231</x:v>
      </x:c>
      <x:c r="B11" s="151" t="str">
        <x:v>测试方式</x:v>
      </x:c>
      <x:c r="C11" s="151" t="str">
        <x:v>基线压缩为45–60分钟，每周45–90分钟复测</x:v>
      </x:c>
      <x:c r="D11" s="151" t="str">
        <x:v>用户不希望长测，已明确代码大致水平</x:v>
      </x:c>
      <x:c r="E11" s="151" t="str">
        <x:v>是</x:v>
      </x:c>
      <x:c r="F11" s="151" t="str">
        <x:v>短测无法区分能力或结果矛盾</x:v>
      </x:c>
      <x:c r="G11" s="151" t="str">
        <x:v>评估机制</x:v>
      </x:c>
      <x:c r="H11" s="151" t="str"/>
    </x:row>
  </x:sheetData>
  <x:mergeCells>
    <x:mergeCell ref="A1:H1"/>
    <x:mergeCell ref="A2:H3"/>
  </x:mergeCells>
  <x:dataValidations count="1">
    <x:dataValidation type="list" sqref="E6:E40">
      <x:formula1>"是,否,待验证"</x:formula1>
    </x:dataValidation>
  </x:dataValidations>
  <x:pageMargins left="0.7" right="0.7" top="0.75" bottom="0.75" header="0.3" footer="0.3"/>
</x:worksheet>
</file>